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heckej\OneDrive - Queensland University of Technology\Desktop\Joshua Hecke Project\QUT_UAV_Autopilot\FMUv4_Pixracer\"/>
    </mc:Choice>
  </mc:AlternateContent>
  <xr:revisionPtr revIDLastSave="0" documentId="13_ncr:1_{CDBA3FDE-AF53-4CE8-BB7E-378A307C2D3F}" xr6:coauthVersionLast="47" xr6:coauthVersionMax="47" xr10:uidLastSave="{00000000-0000-0000-0000-000000000000}"/>
  <bookViews>
    <workbookView xWindow="-120" yWindow="-120" windowWidth="29040" windowHeight="15840" firstSheet="3" activeTab="5" xr2:uid="{00000000-000D-0000-FFFF-FFFF00000000}"/>
  </bookViews>
  <sheets>
    <sheet name="Original Schematic BOM" sheetId="1" state="hidden" r:id="rId1"/>
    <sheet name="Alternative Schematic BOM" sheetId="2" state="hidden" r:id="rId2"/>
    <sheet name="Current (V1) Schematic BOM" sheetId="3" state="hidden" r:id="rId3"/>
    <sheet name="Chart2" sheetId="7" r:id="rId4"/>
    <sheet name="Chart1" sheetId="6" r:id="rId5"/>
    <sheet name="Current (V1) Schematic BOM Alt." sheetId="4" r:id="rId6"/>
    <sheet name="Sheet1" sheetId="5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8" i="4" l="1"/>
  <c r="J13" i="4"/>
  <c r="J34" i="4"/>
  <c r="J30" i="4"/>
  <c r="J27" i="4"/>
  <c r="J3" i="4"/>
  <c r="J46" i="4"/>
  <c r="J14" i="4"/>
  <c r="J25" i="4"/>
  <c r="J57" i="4"/>
  <c r="J44" i="4"/>
  <c r="J19" i="4"/>
  <c r="J56" i="4"/>
  <c r="J45" i="4"/>
  <c r="J22" i="4"/>
  <c r="J21" i="4"/>
  <c r="J17" i="4"/>
  <c r="J43" i="4"/>
  <c r="J16" i="4"/>
  <c r="J12" i="4"/>
  <c r="J20" i="4"/>
  <c r="J15" i="4"/>
  <c r="J55" i="4"/>
  <c r="J54" i="4"/>
  <c r="J52" i="4"/>
  <c r="J42" i="4"/>
  <c r="J24" i="4"/>
  <c r="J35" i="4"/>
  <c r="J41" i="4"/>
  <c r="J50" i="4"/>
  <c r="J40" i="4"/>
  <c r="J33" i="4"/>
  <c r="J49" i="4"/>
  <c r="J11" i="4"/>
  <c r="J48" i="4"/>
  <c r="J39" i="4"/>
  <c r="J38" i="4"/>
  <c r="J37" i="4"/>
  <c r="J58" i="4"/>
  <c r="J32" i="4"/>
  <c r="J9" i="4"/>
  <c r="J31" i="4"/>
  <c r="J8" i="4"/>
  <c r="J60" i="4"/>
  <c r="J29" i="4"/>
  <c r="J28" i="4"/>
  <c r="J6" i="4"/>
  <c r="J5" i="4"/>
  <c r="J53" i="4"/>
  <c r="J51" i="4"/>
  <c r="J2" i="4"/>
  <c r="J59" i="4"/>
  <c r="J7" i="4"/>
  <c r="J4" i="4"/>
  <c r="J10" i="4"/>
  <c r="J47" i="4"/>
  <c r="J26" i="4"/>
  <c r="J36" i="4"/>
  <c r="J61" i="4"/>
  <c r="J23" i="4"/>
  <c r="I57" i="3"/>
  <c r="I37" i="3"/>
  <c r="I27" i="3"/>
  <c r="I19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6" i="3"/>
  <c r="I35" i="3"/>
  <c r="I34" i="3"/>
  <c r="I33" i="3"/>
  <c r="I32" i="3"/>
  <c r="I31" i="3"/>
  <c r="I30" i="3"/>
  <c r="I29" i="3"/>
  <c r="I28" i="3"/>
  <c r="I26" i="3"/>
  <c r="I25" i="3"/>
  <c r="I24" i="3"/>
  <c r="I23" i="3"/>
  <c r="I22" i="3"/>
  <c r="I21" i="3"/>
  <c r="I20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I28" i="1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7" i="1"/>
  <c r="I24" i="1"/>
  <c r="I26" i="1"/>
  <c r="I25" i="1"/>
  <c r="I23" i="1"/>
  <c r="I22" i="1"/>
  <c r="I21" i="1"/>
  <c r="I20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" i="1"/>
  <c r="J63" i="4" l="1"/>
  <c r="I59" i="3"/>
  <c r="I58" i="1"/>
</calcChain>
</file>

<file path=xl/sharedStrings.xml><?xml version="1.0" encoding="utf-8"?>
<sst xmlns="http://schemas.openxmlformats.org/spreadsheetml/2006/main" count="2141" uniqueCount="469">
  <si>
    <t>Component Name</t>
  </si>
  <si>
    <t>Component Code</t>
  </si>
  <si>
    <t>Description</t>
  </si>
  <si>
    <t>Provider</t>
  </si>
  <si>
    <t>Link</t>
  </si>
  <si>
    <t>Cost/Unit</t>
  </si>
  <si>
    <t>Quantity</t>
  </si>
  <si>
    <t>Subtotal</t>
  </si>
  <si>
    <t>STM32F427VIT6</t>
  </si>
  <si>
    <t>Provider Compoent Code</t>
  </si>
  <si>
    <t>511-STM32F427VIT6</t>
  </si>
  <si>
    <t>Mouser</t>
  </si>
  <si>
    <t>https://au.mouser.com/ProductDetail/STMicroelectronics/STM32F427VIT6?qs=GlLcxsc1hfFxlQzXIfPRUw%3D%3D</t>
  </si>
  <si>
    <t>ARM Microcontrollers - MCU 32B ARM Cortex-M4 2Mb Flash 168MHz CPU</t>
  </si>
  <si>
    <t>Note</t>
  </si>
  <si>
    <t>MCP131T-300E/TT</t>
  </si>
  <si>
    <t>https://au.mouser.com/ProductDetail/Microchip-Technology/MCP131T-300E-TT?qs=oKK8NaWdAJuugCcbQvjtFw%3D%3D</t>
  </si>
  <si>
    <t>579-MCP131T-300E/TT</t>
  </si>
  <si>
    <t>Supervisory Circuits Open Drain Low</t>
  </si>
  <si>
    <t>71-CRMA1206AF10K0FKF</t>
  </si>
  <si>
    <t>CRMA1206AF10K0FKEF</t>
  </si>
  <si>
    <t>Thick Film Resistors - SMD 0.30W 10Kohm 1% AEC-Q200</t>
  </si>
  <si>
    <t>https://au.mouser.com/ProductDetail/Vishay/CRMA1206AF10K0FKEF?qs=TiOZkKH1s2Q81nOs5FD1Wg%3D%3D</t>
  </si>
  <si>
    <t>C0603C809C5GACAUTO</t>
  </si>
  <si>
    <t>Multilayer Ceramic Capacitors MLCC - SMD/SMT 50V 8pF C0G 0603 0.25pF AEC-Q200</t>
  </si>
  <si>
    <t>80-C0603C809C5GAUTO</t>
  </si>
  <si>
    <t>https://au.mouser.com/ProductDetail/KEMET/C0603C809C5GACAUTO?qs=u4fy%2FsgLU9N7MIfzP7pNhA%3D%3D</t>
  </si>
  <si>
    <t>UMR316BC7225KL-T</t>
  </si>
  <si>
    <t>Multilayer Ceramic Capacitors MLCC - SMD/SMT 1206 50VDC 2.2uF 10% X7S AEC-Q200</t>
  </si>
  <si>
    <t>963-UMR316BC7225KL-T</t>
  </si>
  <si>
    <t xml:space="preserve">https://au.mouser.com/ProductDetail/Taiyo-Yuden/UMR316BC7225KL-T?qs=sGAEpiMZZMsh%252B1woXyUXj30ZYomYlxpXQmjyNO27FLM%3D </t>
  </si>
  <si>
    <t>C0603C104K5RAC3121</t>
  </si>
  <si>
    <t>Multilayer Ceramic Capacitors MLCC - SMD/SMT 50V 0.1uF X7R 0603 10% AEC-Q200</t>
  </si>
  <si>
    <t>80-C603C104K5RAC3121</t>
  </si>
  <si>
    <t>https://au.mouser.com/ProductDetail/KEMET/C0603C104K5RAC3121?qs=oBCMsStVSxe1EkGyoyETtg%3D%3D</t>
  </si>
  <si>
    <t>Schottky Diodes &amp; Rectifiers DIODE SCHOTTKY</t>
  </si>
  <si>
    <t>Schematic</t>
  </si>
  <si>
    <t>IC2</t>
  </si>
  <si>
    <t>IC1</t>
  </si>
  <si>
    <t>FM25V02A-G</t>
  </si>
  <si>
    <t>IC3</t>
  </si>
  <si>
    <t>C4, C5</t>
  </si>
  <si>
    <t>CRCW0603220RJNEAC</t>
  </si>
  <si>
    <t>https://au.mouser.com/ProductDetail/Vishay-Dale/CRCW0603220RJNEAC?qs=sGAEpiMZZMtlubZbdhIBIIZe04wfiaJWuP1eVTGiDpg%3D</t>
  </si>
  <si>
    <t>Thick Film Resistors - SMD 1/10Watt 220ohms 5% Commercial Use</t>
  </si>
  <si>
    <t>71-CRCW0603220RJNEAC</t>
  </si>
  <si>
    <t>https://au.mouser.com/ProductDetail/Vishay-Dale/RCP0603W1K00GEB?qs=GUgsoi%2Fpq2SZN0c%2FPXgv7w%3D%3D</t>
  </si>
  <si>
    <t>Thick Film Resistors - SMD 1.5watt 1Kohms 2% 0603 WIDE TERM</t>
  </si>
  <si>
    <t>71-RCP0603W1K00GEB</t>
  </si>
  <si>
    <t>RCP0603W1K00GEB</t>
  </si>
  <si>
    <t>https://au.mouser.com/ProductDetail/Texas-Instruments/LP5907QMFX-3.3Q1?qs=asCBFxFfL1RsL2VYqGFsBQ%3D%3D</t>
  </si>
  <si>
    <t>LP5907QMFX-3.3Q1</t>
  </si>
  <si>
    <t>LDO Voltage Regulators Auto 250mA,Ultra- Low Noise LDO Reg</t>
  </si>
  <si>
    <t>595-LP5907QMFX-3.3Q1</t>
  </si>
  <si>
    <t>Expected (15/06/2022)</t>
  </si>
  <si>
    <t>D1</t>
  </si>
  <si>
    <t>https://au.mouser.com/ProductDetail/TDK/CNC5L1X7R1E106K160AE?qs=sGAEpiMZZMsh%252B1woXyUXj7hTFrnMyX90sZH81KGRCkA%3D</t>
  </si>
  <si>
    <t>CNC5L1X7R1E106K160AE</t>
  </si>
  <si>
    <t>Multilayer Ceramic Capacitors MLCC - SMD/SMT 1206 25VDC 10uF 20% X7R Lo Resistance</t>
  </si>
  <si>
    <t>810-CNC5LX7R1E106K16</t>
  </si>
  <si>
    <t>https://au.mouser.com/ProductDetail/Panasonic/4TPE220MBB?qs=sGAEpiMZZMsh%252B1woXyUXj9v%2FLaJorgg0KN9ebRXfx9M%3D</t>
  </si>
  <si>
    <t>C16</t>
  </si>
  <si>
    <t>220uF 4V, unsure if polarised required</t>
  </si>
  <si>
    <t>4TPE220MBB</t>
  </si>
  <si>
    <t>Tantalum Capacitors - Polymer 4VDC 220uF 20% ESR 70mOhm</t>
  </si>
  <si>
    <t>667-4TPE220MBB</t>
  </si>
  <si>
    <t>https://au.mouser.com/ProductDetail/TDK-InvenSense/ICM-20948?qs=u4fy%2FsgLU9OtGc31yF%2Friw%3D%3D</t>
  </si>
  <si>
    <t>410-ICM-20948</t>
  </si>
  <si>
    <t>IMUs - Inertial Measurement Units World's Lowest Power 9-Axis MEMS MotionTracking Device</t>
  </si>
  <si>
    <t>ICM-20948</t>
  </si>
  <si>
    <t>Alternative for MPU9250, However, No stock and Factory Lead time is 52Weeks</t>
  </si>
  <si>
    <t>IC4</t>
  </si>
  <si>
    <t>ICM-20608-G</t>
  </si>
  <si>
    <t>IMUs - Inertial Measurement Units 6-axis MotionTracking device that combines a 3-axis gyroscope, a 3-axis accelerometer in a small, 3 mm x 3 mm x 0.75 mm (16-pin LGA) package</t>
  </si>
  <si>
    <t>410-ICM-20608-G</t>
  </si>
  <si>
    <t>https://au.mouser.com/ProductDetail/TDK-InvenSense/ICM-20608-G?qs=u4fy%2FsgLU9NkRMtJWsPTtQ%3D%3D</t>
  </si>
  <si>
    <t>10 Weeks Lead Time, (Not recommanded for new designs)</t>
  </si>
  <si>
    <t>IC5</t>
  </si>
  <si>
    <t>Multilayer Ceramic Capacitors MLCC - SMD/SMT 0603 16VDC 0.47uF 10% X7R AEC-Q200</t>
  </si>
  <si>
    <t>EMF107B7474KAHT</t>
  </si>
  <si>
    <t>963-EMF107B7474KAHT</t>
  </si>
  <si>
    <t>https://au.mouser.com/ProductDetail/Taiyo-Yuden/EMF107B7474KAHT?qs=sGAEpiMZZMsh%252B1woXyUXj30ZYomYlxpXbZmTEzBsZ7s%3D</t>
  </si>
  <si>
    <t>C24</t>
  </si>
  <si>
    <t>MS561101BA03-50</t>
  </si>
  <si>
    <t>Board Mount Pressure Sensors MS5611-BT M-CAPS 3X5X1MM T&amp;R</t>
  </si>
  <si>
    <t>https://au.mouser.com/ProductDetail/Measurement-Specialties/MS561101BA03-50?qs=%252BgKeJhng5iV%252BnCz6Qd5iDw%3D%3D</t>
  </si>
  <si>
    <t>824-MS561101BA03-50</t>
  </si>
  <si>
    <t>IC6</t>
  </si>
  <si>
    <t>U1, U2</t>
  </si>
  <si>
    <t>KNH16C104DA5TS</t>
  </si>
  <si>
    <t>Multilayer Ceramic Capacitors MLCC - SMD/SMT 25volts 0.1uF 2A 1.6 x 0.80</t>
  </si>
  <si>
    <t>581-KNH16C104DA5TS</t>
  </si>
  <si>
    <t>https://au.mouser.com/ProductDetail/Kyocera-AVX/KNH16C104DA5TS?qs=55YtniHzbhB%2FMhEmgkwYng%3D%3D</t>
  </si>
  <si>
    <t>Discountinued, Unsure if required</t>
  </si>
  <si>
    <t>NCP163ASN180T1G</t>
  </si>
  <si>
    <t>LDO Voltage Regulators LDO Reg, Ultra-Low Noise High PSRR 1.8V</t>
  </si>
  <si>
    <t>https://au.mouser.com/ProductDetail/onsemi/NCP163ASN180T1G?qs=vLWxofP3U2z0o2tJM%252BNAYw%3D%3D</t>
  </si>
  <si>
    <t>863-NCP163ASN180T1G</t>
  </si>
  <si>
    <t>IC7</t>
  </si>
  <si>
    <t>Total</t>
  </si>
  <si>
    <t>FA-20H 24.0000MF20X-K3</t>
  </si>
  <si>
    <t>Crystals 24MHz 10ppm 10pF -40C +85C</t>
  </si>
  <si>
    <t>Y1</t>
  </si>
  <si>
    <t>732-FA20H-24F20X-K3</t>
  </si>
  <si>
    <t>https://au.mouser.com/ProductDetail/Epson-Timing/FA-20H-24.0000MF20X-K3?qs=CANAagUtPAp2w31393daZQ%3D%3D</t>
  </si>
  <si>
    <t>52 weeks lead time</t>
  </si>
  <si>
    <t>NVRAM NVRAM FRAM Memory Serial</t>
  </si>
  <si>
    <t>727-FM25V02A-G</t>
  </si>
  <si>
    <t>https://au.mouser.com/ProductDetail/Cypress-Semiconductor/FM25V02A-G?qs=sGAEpiMZZMutXGli8Ay4kEPfvY4JW7cXBqIf%2FIj4beU%3D</t>
  </si>
  <si>
    <t>SDR03EZPD22R0</t>
  </si>
  <si>
    <t>Thick Film Resistors - SMD</t>
  </si>
  <si>
    <t>755-SDR03EZPD22R0</t>
  </si>
  <si>
    <t>https://au.mouser.com/ProductDetail/ROHM-Semiconductor/SDR03EZPD22R0?qs=sGAEpiMZZMtlubZbdhIBIK8AeiPKd8jIDpD%2FOVUe8pI%3D</t>
  </si>
  <si>
    <t>https://au.rs-online.com/web/p/pcb-headers/7521800</t>
  </si>
  <si>
    <t>JST, GH, 6 Way, Right Angle PCB Header</t>
  </si>
  <si>
    <t>SM06B-GHS-TB(LF)(SN)</t>
  </si>
  <si>
    <t>1.25mm Wire to Board GH Series Side Entry Headers</t>
  </si>
  <si>
    <t>752-1800</t>
  </si>
  <si>
    <t>RS Components</t>
  </si>
  <si>
    <t>CMP0603AFX-1004ELF</t>
  </si>
  <si>
    <t>Thick Film Resistors - SMD ResHighPowerA 0603 1M 1% 1/4W TC100</t>
  </si>
  <si>
    <t>652-CMP0603AFX-1004L</t>
  </si>
  <si>
    <t>https://au.mouser.com/ProductDetail/Bourns/CMP0603AFX-1004ELF?qs=sGAEpiMZZMtlubZbdhIBIIPWN1VQSu3w%252BK3x48irFUs%3D</t>
  </si>
  <si>
    <t>R10, R11</t>
  </si>
  <si>
    <t>J3</t>
  </si>
  <si>
    <t>47346-0001</t>
  </si>
  <si>
    <t>USB Connectors MICRO USB B RECPT BTTM MOUNT ASSY</t>
  </si>
  <si>
    <t>538-47346-0001</t>
  </si>
  <si>
    <t>https://au.mouser.com/ProductDetail/Molex/47346-0001?qs=c2CV6XM0DweJBWaSeyWeCw%3D%3D</t>
  </si>
  <si>
    <t>J2</t>
  </si>
  <si>
    <t>Multilayer Ceramic Capacitors MLCC - SMD/SMT 25V 0.01uF C0G 0603 1% Flex Soft</t>
  </si>
  <si>
    <t>C0603X103F3GACTU</t>
  </si>
  <si>
    <t>80-C0603X103F3GACTU</t>
  </si>
  <si>
    <t>https://au.mouser.com/ProductDetail/KEMET/C0603X103F3GACTU?qs=ds50AKTGxA%252BILxGUD7xKPw%3D%3D</t>
  </si>
  <si>
    <t>C33, C34</t>
  </si>
  <si>
    <t>10kOHM, 1206 (in)</t>
  </si>
  <si>
    <t>8.0pF, 603 (in)</t>
  </si>
  <si>
    <t>2.2uF, 1206 (in)</t>
  </si>
  <si>
    <t>220OHM, 603 (in)</t>
  </si>
  <si>
    <t>1kOHM, 603 (in)</t>
  </si>
  <si>
    <t>10uF, 1206 (in)</t>
  </si>
  <si>
    <t>1MOHM, 603 (in)</t>
  </si>
  <si>
    <t>0.01uF (10nF) , 603 (in)</t>
  </si>
  <si>
    <t>22OHM, 603 (in)</t>
  </si>
  <si>
    <t>ERJ-UP3D1003V</t>
  </si>
  <si>
    <t>Thick Film Resistors - SMD AEC-Q200</t>
  </si>
  <si>
    <t>667-ERJ-UP3D1003V</t>
  </si>
  <si>
    <t>https://au.mouser.com/ProductDetail/Panasonic/ERJ-UP3D1003V?qs=sGAEpiMZZMtlubZbdhIBINZyO39%252BOXIfhATqBknuev8%3D</t>
  </si>
  <si>
    <t>R14, R15, R16, R17, R18</t>
  </si>
  <si>
    <t>TJA1051TK/3,118</t>
  </si>
  <si>
    <t>CAN Interface IC HIGH-SPEED CAN TRANSCEIVER</t>
  </si>
  <si>
    <t>771-TJA1051TK/3118</t>
  </si>
  <si>
    <t>https://au.mouser.com/ProductDetail/NXP-Semiconductors/TJA1051TK-3118?qs=fhAOlxDPaYVrDQ2e4g%252BBJA%3D%3D</t>
  </si>
  <si>
    <t>Expected 13/06/2022</t>
  </si>
  <si>
    <t>98 Weeks lead time, Expected (8/09/2023)</t>
  </si>
  <si>
    <t>IC8</t>
  </si>
  <si>
    <t>JST, GH, 4 Way, Right Angle PCB Header</t>
  </si>
  <si>
    <t>SM04B-GHS-TB(LF)(SN)</t>
  </si>
  <si>
    <t>752-1797P</t>
  </si>
  <si>
    <t>https://au.rs-online.com/web/p/pcb-headers/7521797p?cm_mmc=AU-PPC-DS3A-_-google-_-3_AU_EN_Connectors_PCB+Headers_JST_Phrase-_-JST+-+7521797P+-+SM04B-GHS-TB(LF)(SN)-_-sm04b+ghs+tb+lf+sn&amp;matchtype=p&amp;aud-828197004210:kwd-349737151659&amp;gclid=EAIaIQobChMI1ITwjq7-9wIVFBwrCh09SQ1AEAAYAiAAEgIOBfD_BwE&amp;gclsrc=aw.ds</t>
  </si>
  <si>
    <t>Back order despatch 10/08/2022</t>
  </si>
  <si>
    <t>J5</t>
  </si>
  <si>
    <t>SDR03EZPD1200</t>
  </si>
  <si>
    <t>755-SDR03EZPD1200</t>
  </si>
  <si>
    <t>https://au.mouser.com/ProductDetail/ROHM-Semiconductor/SDR03EZPD1200?qs=sGAEpiMZZMtlubZbdhIBIK8AeiPKd8jI5FiBmSccIfw%3D</t>
  </si>
  <si>
    <t>120OHM, 603 (in)</t>
  </si>
  <si>
    <t>R19</t>
  </si>
  <si>
    <t>JST, GH, 5 Way, Right Angle PCB Header</t>
  </si>
  <si>
    <t>SM05B-GHS-TB(LF)(SN)</t>
  </si>
  <si>
    <t>752-1807P</t>
  </si>
  <si>
    <t>https://au.rs-online.com/web/p/pcb-headers/7521807p?cm_mmc=AU-PPC-DS3A-_-google-_-3_AU_EN_Connectors_PCB+Headers_JST_Phrase-_-JST+-+7521807P+-+SM05B-GHS-TB(LF)(SN)-_-sm05b+ghs+tb+lf+sn&amp;matchtype=p&amp;aud-821594433763:kwd-383463479017&amp;gclid=EAIaIQobChMI7JqB-rP-9wIVtZNmAh2j4w0kEAAYAyAAEgJjvvD_BwE&amp;gclsrc=aw.ds</t>
  </si>
  <si>
    <t>Back order despatch 30/11/2022</t>
  </si>
  <si>
    <t>J6</t>
  </si>
  <si>
    <t>74LVC1G86SE-7</t>
  </si>
  <si>
    <t>74LVC1G86SE-7DICT-ND</t>
  </si>
  <si>
    <t>Digi-Key</t>
  </si>
  <si>
    <t>IC GATE XOR 1CH 2-INP SOT353</t>
  </si>
  <si>
    <t>https://www.digikey.com.au/en/products/detail/diodes-incorporated/74LVC1G86SE-7/2330123</t>
  </si>
  <si>
    <t>IC9</t>
  </si>
  <si>
    <t>74LVC2G86DC,125</t>
  </si>
  <si>
    <t>Logic Gates DUAL 2-IN EX-OR GATE</t>
  </si>
  <si>
    <t>771-LVC2G86DC125</t>
  </si>
  <si>
    <t>https://au.mouser.com/ProductDetail/Nexperia/74LVC2G86DC125?qs=me8TqzrmIYXbZy3sMRjHUw%3D%3D</t>
  </si>
  <si>
    <t>IC10</t>
  </si>
  <si>
    <t>R4, R8, R9, R22, R23</t>
  </si>
  <si>
    <t>C26, C39</t>
  </si>
  <si>
    <t>ERA-3VEB1501V</t>
  </si>
  <si>
    <t>Thin Film Resistors - SMD 0603 0.1% 1.5Kohm 25ppm SMD</t>
  </si>
  <si>
    <t>667-ERA-3VEB1501V</t>
  </si>
  <si>
    <t>https://au.mouser.com/ProductDetail/Panasonic/ERA-3VEB1501V?qs=sGAEpiMZZMtlubZbdhIBIFX24rZb7BVEH%252BWfeSYccGI%3D</t>
  </si>
  <si>
    <t>JST, SH, 6 Way, 1 Row, Right Angle PCB Header</t>
  </si>
  <si>
    <t>SM06B-SRSS-TB (LF)(SN)</t>
  </si>
  <si>
    <t>PCB connector SH base These are not the standard JST type connectors we use on most of our boards, but are actually the much smaller JST-SH type.</t>
  </si>
  <si>
    <t>546-8827</t>
  </si>
  <si>
    <t>https://au.rs-online.com/web/p/pcb-headers/5468827</t>
  </si>
  <si>
    <t>Back oder despatch 14/07/2022</t>
  </si>
  <si>
    <t>J1</t>
  </si>
  <si>
    <t>R6, R7, R34, R35, R36, R37, R48, R39</t>
  </si>
  <si>
    <t>100kOHM, 603 (in)</t>
  </si>
  <si>
    <t>R32, R33, R40</t>
  </si>
  <si>
    <t>SDR03EZPD68R0</t>
  </si>
  <si>
    <t>755-SDR03EZPD68R0</t>
  </si>
  <si>
    <t>https://au.mouser.com/ProductDetail/ROHM-Semiconductor/SDR03EZPD68R0?qs=sGAEpiMZZMtlubZbdhIBIK8AeiPKd8jI3Tw4pRHIIWs%3D</t>
  </si>
  <si>
    <t>68OHM, 603 (in)</t>
  </si>
  <si>
    <t>1.5kOHM, 603 (in)</t>
  </si>
  <si>
    <t>R41</t>
  </si>
  <si>
    <t>C1, C7, C12, C13, C14, C17, C22, C27, C36, C37, C38, C40</t>
  </si>
  <si>
    <t>https://au.mouser.com/ProductDetail/Bourns/CHP0603AFX-4700ELF?qs=sGAEpiMZZMtlubZbdhIBINZyO39%252BOXIfsmxjJ95ijuY%3D</t>
  </si>
  <si>
    <t>652-CHP0603AFX-4700L</t>
  </si>
  <si>
    <t>CHP0603AFX-4700ELF</t>
  </si>
  <si>
    <t>Thick Film Resistors - SMD ResHighPowerA 0603 470R 1% 1/3W TC100</t>
  </si>
  <si>
    <t>470OHM, 603 (in)</t>
  </si>
  <si>
    <t>R43</t>
  </si>
  <si>
    <t>PMEG2020CPASX</t>
  </si>
  <si>
    <t>Schottky Diodes &amp; Rectifiers 20V 2A dual MEGA Schottky</t>
  </si>
  <si>
    <t>771-PMEG2020CPASX</t>
  </si>
  <si>
    <t>https://au.mouser.com/ProductDetail/Nexperia/PMEG2020CPASX?qs=K2OaAKmNuLimeK0EUCzHKQ%3D%3D</t>
  </si>
  <si>
    <t>D2</t>
  </si>
  <si>
    <t>0ZCJ0200FF2C</t>
  </si>
  <si>
    <t>Resettable Fuses - PPTC Fuse</t>
  </si>
  <si>
    <t>530-0ZCJ0200FF2C</t>
  </si>
  <si>
    <t>https://au.mouser.com/ProductDetail/Bel-Fuse/0ZCJ0200FF2C?qs=SRYZG9HaIQ2c%2F4nW1aZeIg%3D%3D</t>
  </si>
  <si>
    <t>TLJA107M010R1400</t>
  </si>
  <si>
    <t>Tantalum Capacitors - Solid SMD 10V 100uF 20% 1206 ESR= 1.4 Ohm</t>
  </si>
  <si>
    <t>581-TLJA107M10R1400</t>
  </si>
  <si>
    <t>https://au.mouser.com/ProductDetail/Kyocera-AVX/TLJA107M010R1400?qs=sGAEpiMZZMsh%252B1woXyUXj%2FySn2ICKKERp8aWU3DKthM%3D</t>
  </si>
  <si>
    <t>100uF, 10V, 1206 (in)</t>
  </si>
  <si>
    <t>F1</t>
  </si>
  <si>
    <t>BZX84B5V6LYT116</t>
  </si>
  <si>
    <t>Zener Diodes ZENER DIODE</t>
  </si>
  <si>
    <t>755-BZX84B5V6LYT116</t>
  </si>
  <si>
    <t>https://au.mouser.com/ProductDetail/ROHM-Semiconductor/BZX84B5V6LYT116?qs=QNEnbhJQKvatugwafyRm7Q%3D%3D</t>
  </si>
  <si>
    <t>5.6V, SOT-23-3</t>
  </si>
  <si>
    <t>APG1608ZGCK</t>
  </si>
  <si>
    <t>Standard LEDs - SMD 1.6X0.8MM</t>
  </si>
  <si>
    <t>604-APG1608ZGCK</t>
  </si>
  <si>
    <t>https://au.mouser.com/ProductDetail/Kingbright/APG1608ZGCK?qs=Oo40KB9lBTmmOma0ledTcg%3D%3D</t>
  </si>
  <si>
    <t>Green, 603 (in)</t>
  </si>
  <si>
    <t>LED1</t>
  </si>
  <si>
    <t>C41, C42</t>
  </si>
  <si>
    <t>R3, R5, R20, R44, R45, R46</t>
  </si>
  <si>
    <t>https://au.mouser.com/ProductDetail/Nexperia/PMEG1030EJ115?qs=LOCUfHb8d9vmk7P%2FuYbs5A%3D%3D</t>
  </si>
  <si>
    <t>PMEG1030EJ,115</t>
  </si>
  <si>
    <t>Schottky Diodes &amp; Rectifiers SCHOTTKY 10V 3A</t>
  </si>
  <si>
    <t>771-PMEG1030EJ-T/R</t>
  </si>
  <si>
    <t>D4</t>
  </si>
  <si>
    <t>D3</t>
  </si>
  <si>
    <t>0ZCK0035FF2G</t>
  </si>
  <si>
    <t>Resettable Fuses - PPTC</t>
  </si>
  <si>
    <t>530-0ZCK0035FF2G</t>
  </si>
  <si>
    <t>https://au.mouser.com/ProductDetail/Bel-Fuse/0ZCK0035FF2G?qs=SRYZG9HaIQ1hwWyCkUgYKw%3D%3D</t>
  </si>
  <si>
    <t>2A RST Fuse, 1206 (in)</t>
  </si>
  <si>
    <t>0.3A RST Fuse, 0805 (in)</t>
  </si>
  <si>
    <t>F2</t>
  </si>
  <si>
    <t>0603L100SLYR</t>
  </si>
  <si>
    <t>Resettable Fuses - PPTC 6V POLYFUSE 0603 LoRho SL 1A</t>
  </si>
  <si>
    <t>576-0603L100SLYR</t>
  </si>
  <si>
    <t>https://au.mouser.com/ProductDetail/Littelfuse/0603L100SLYR?qs=%252BPPFKVzHyAKqCAJtLoK6vw%3D%3D252BYUP1cqw4nGgeCn8kw%3D%3D</t>
  </si>
  <si>
    <t>1A RST Fuse, 0603 (in)</t>
  </si>
  <si>
    <t>F3</t>
  </si>
  <si>
    <t>DMG1012UW-7</t>
  </si>
  <si>
    <t>MOSFET MOSFET N-CHANNEL SOT-323</t>
  </si>
  <si>
    <t>https://au.mouser.com/ProductDetail/Diodes-Incorporated/DMG1012UW-7?qs=vIZ3oKQCLxp8XxWFc0YBWg%3D%3D</t>
  </si>
  <si>
    <t>621-DMG1012UW-7</t>
  </si>
  <si>
    <t>Q1</t>
  </si>
  <si>
    <t>59 Weeks Lead Time, Expected 16/11/2022</t>
  </si>
  <si>
    <t>ERJ-UP3F10R0V</t>
  </si>
  <si>
    <t>Thick Film Resistors - SMD 0603 0.25W 1% 10ohm AEC-Q200</t>
  </si>
  <si>
    <t>667-ERJ-UP3F10R0V</t>
  </si>
  <si>
    <t>https://au.mouser.com/ProductDetail/Panasonic/ERJ-UP3F10R0V?qs=sGAEpiMZZMtlubZbdhIBINZyO39%252BOXIfP8pGmM67b0U%3D</t>
  </si>
  <si>
    <t>10OHM, 603 (in)</t>
  </si>
  <si>
    <t>R47</t>
  </si>
  <si>
    <t>1N4448X-TP</t>
  </si>
  <si>
    <t>Diodes - General Purpose, Power, Switching 250mA 75V 500mA 250mA 150mW 75Vbr</t>
  </si>
  <si>
    <t>833-1N4448X-TP</t>
  </si>
  <si>
    <t>https://au.mouser.com/ProductDetail/Micro-Commercial-Components-MCC/1N4448X-TP?qs=0RDYWt4CO4fFI8HfN%2F4aEA%3D%3D</t>
  </si>
  <si>
    <t>D5</t>
  </si>
  <si>
    <t>LTST-C19HE1WT</t>
  </si>
  <si>
    <t>Standard LEDs - SMD LED Red 615nm Grn 525nm/Blu 470nm</t>
  </si>
  <si>
    <t>859-LTST-C19HE1WT</t>
  </si>
  <si>
    <t>https://au.mouser.com/ProductDetail/Lite-On/LTST-C19HE1WT?qs=WAWaI72GHKxJLPArJA9%252BUw%3D%3D</t>
  </si>
  <si>
    <t>LED2</t>
  </si>
  <si>
    <t>SDR03EZPF1000</t>
  </si>
  <si>
    <t>755-SDR03EZPF1000</t>
  </si>
  <si>
    <t>Thick Film Resistors - SMD 0603 100ohm 1% Anti Surge AEC-Q200</t>
  </si>
  <si>
    <t>https://au.mouser.com/ProductDetail/ROHM-Semiconductor/SDR03EZPF1000?qs=sGAEpiMZZMtlubZbdhIBIIR71ikvQRXLtdTwu3hnA7E%3D</t>
  </si>
  <si>
    <t>100OHM, 603 (in)</t>
  </si>
  <si>
    <t>R50, R51, R52</t>
  </si>
  <si>
    <t>0.1uF (100nF), 603 (in)</t>
  </si>
  <si>
    <t>AP7365-33WG-7</t>
  </si>
  <si>
    <t>LDO Voltage Regulators LDO 3.3V OUT 600mA 35uA 2 to 6 Vin</t>
  </si>
  <si>
    <t>621-AP7365-33WG-7</t>
  </si>
  <si>
    <t>https://au.mouser.com/ProductDetail/Diodes-Incorporated/AP7365-33WG-7?qs=abZ1nkZpTuOZFvxvoFPL0w%3D%3D</t>
  </si>
  <si>
    <t>IC11</t>
  </si>
  <si>
    <t>R1, R2, R12, R13, R21, R42, R48, R49, R53</t>
  </si>
  <si>
    <t>C15, C29, C43</t>
  </si>
  <si>
    <t>JMK107ABJ106KAHT</t>
  </si>
  <si>
    <t>Multilayer Ceramic Capacitors MLCC - SMD/SMT 0603 6.3VDC 10uF 10% X5R AEC-Q200</t>
  </si>
  <si>
    <t>963-JMK107ABJ106KAHT</t>
  </si>
  <si>
    <t>https://au.mouser.com/ProductDetail/Taiyo-Yuden/JMK107ABJ106KAHT?qs=UXgszm6BlbGVg%252B%252Bo5%252BNvhQ%3D%3D</t>
  </si>
  <si>
    <t>10uF, 6.4V, 603 (in)</t>
  </si>
  <si>
    <t>C44</t>
  </si>
  <si>
    <t>C2, C5, C6, C8, C9, C10, C11, C18, C19, C23, C25, C28, C30, C31, C32, C35, C45</t>
  </si>
  <si>
    <t>https://au.mouser.com/ProductDetail/Infineon-Technologies/BSS223PWH6327XTSA1?qs=Dj8dEyEphkMhtpM4HseAjA%3D%3D</t>
  </si>
  <si>
    <t>726-BSS223PWH6327XTS</t>
  </si>
  <si>
    <t>MOSFET P-Ch -20V -390mA SOT-323-3</t>
  </si>
  <si>
    <t>BSS223PWH6327XTSA1</t>
  </si>
  <si>
    <t>Expected 3/08/2022</t>
  </si>
  <si>
    <t>Q2</t>
  </si>
  <si>
    <t>BAS70-02V-V-G-08</t>
  </si>
  <si>
    <t>78-BAS70-02V-V-G-08</t>
  </si>
  <si>
    <t>https://au.mouser.com/ProductDetail/Vishay-Semiconductors/BAS70-02V-V-G-08?qs=%252BgSy6WSn%2FNx6OtWzB77ZjQ%3D%3D</t>
  </si>
  <si>
    <t>Discountinued, Seek Alternative</t>
  </si>
  <si>
    <t>CDBU70</t>
  </si>
  <si>
    <t>Schottky Diodes &amp; Rectifiers Schottky Barr Diode 70mA, 70V</t>
  </si>
  <si>
    <t>750-CDBU70</t>
  </si>
  <si>
    <t>https://au.mouser.com/ProductDetail/Comchip-Technology/CDBU70?qs=J1R1puj4KiHu6WmHr9F3%252Bw%3D%3D</t>
  </si>
  <si>
    <t>KIT-16987</t>
  </si>
  <si>
    <t>Multiple Function Sensor Development Tools SparkFun Qwiic SHIM Kit for Raspberry Pi</t>
  </si>
  <si>
    <t>474-KIT-16987</t>
  </si>
  <si>
    <t>https://au.mouser.com/ProductDetail/SparkFun/KIT-16987?qs=DPoM0jnrROVSyhPJFCJimg%3D%3D</t>
  </si>
  <si>
    <t>Need to Extract the ICM-20948 From the BOB</t>
  </si>
  <si>
    <t>W2H13C1048AT1F</t>
  </si>
  <si>
    <t>Feed Through Capacitors 25V 0.1uF X7R</t>
  </si>
  <si>
    <t>581-W2H13C1048AT1F</t>
  </si>
  <si>
    <t>https://au.mouser.com/ProductDetail/Kyocera-AVX/W2H13C1048AT1F?qs=yRKuMHbOG1onjNKOzcED5w%3D%3D</t>
  </si>
  <si>
    <t>XP151A12A2MR-G</t>
  </si>
  <si>
    <t>MOSFET Power MOSFET, 20V, 1A, N-Type, SOT-23</t>
  </si>
  <si>
    <t>865-XP151A12A2MR-G</t>
  </si>
  <si>
    <t>https://au.mouser.com/ProductDetail/Torex-Semiconductor/XP151A12A2MR-G?qs=AsjdqWjXhJ%252BYt8dSaKx3TA%3D%3D</t>
  </si>
  <si>
    <t>BSS209PW H6327</t>
  </si>
  <si>
    <t>MOSFET P-Ch -20V -630mA SOT-323-3</t>
  </si>
  <si>
    <t>726-BSS209PWH6327</t>
  </si>
  <si>
    <t>https://au.mouser.com/ProductDetail/Infineon-Technologies/BSS209PW-H6327?qs=l6ZoeTYLMwPiE0APXKbLcQ%3D%3D</t>
  </si>
  <si>
    <t>EV_ICM-20602</t>
  </si>
  <si>
    <t>Multiple Function Sensor Development Tools ICM-20602</t>
  </si>
  <si>
    <t>410-EV_ICM-20602</t>
  </si>
  <si>
    <t>https://au.mouser.com/ProductDetail/TDK-InvenSense/EV_ICM-20602?qs=u4fy%2FsgLU9PDvlLfBx4paA%3D%3D</t>
  </si>
  <si>
    <t>Need to Extract the ICM-20602 (V15), replacement for ICM-20608-G (V14)</t>
  </si>
  <si>
    <t>FM25V02A-GTR</t>
  </si>
  <si>
    <t>F-RAM NVRAM FRAM Memory Serial</t>
  </si>
  <si>
    <t>727-FM25V02A-GTR</t>
  </si>
  <si>
    <t>https://au.mouser.com/ProductDetail/Cypress-Semiconductor/FM25V02A-GTR?qs=sGAEpiMZZMutXGli8Ay4kMCKEe2buTysaZrB7nDY4Ds%3D</t>
  </si>
  <si>
    <t>https://au.mouser.com/ProductDetail/Yamaichi-Electronics/PJS008-2120-0?qs=pDnM3xHIg41mTHT1wk7bvQ%3D%3D</t>
  </si>
  <si>
    <t>PJS008-2120-0</t>
  </si>
  <si>
    <t>Memory Card Connectors STD MNT MICRO SD PUSH-PUSH, SMT CONN</t>
  </si>
  <si>
    <t>945-PJS008-2120-0</t>
  </si>
  <si>
    <t>J4</t>
  </si>
  <si>
    <t>C3, C4</t>
  </si>
  <si>
    <t>LDO Vo+B11+C11:G11+C11:I11+B11+C11:G11+C11:I12+C11:K11</t>
  </si>
  <si>
    <t>470nF</t>
  </si>
  <si>
    <t>0ZCJ0100FF2E</t>
  </si>
  <si>
    <t>530-0ZCJ0100FF2E</t>
  </si>
  <si>
    <t>https://au.mouser.com/ProductDetail/Bel-Fuse/0ZCJ0100FF2E?qs=SRYZG9HaIQ16trCtSE8WyA%3D%3D</t>
  </si>
  <si>
    <t>1A RST Fuse, 1206 (in)</t>
  </si>
  <si>
    <t>Thick Film Resistors - SMD ResHighPower 0603 10k 1% 1/4W TC100</t>
  </si>
  <si>
    <t>CMP0603-FX-1002ELF</t>
  </si>
  <si>
    <t>652-CMP0603-FX-1002L</t>
  </si>
  <si>
    <t>https://au.mouser.com/ProductDetail/Bourns/CMP0603-FX-1002ELF?qs=sGAEpiMZZMtlubZbdhIBIIPWN1VQSu3wvtn3yYqkWIE%3D</t>
  </si>
  <si>
    <t>10kOHM, 603 (in)</t>
  </si>
  <si>
    <t>C1608X7S1C225K080AE</t>
  </si>
  <si>
    <t>Multilayer Ceramic Capacitors MLCC - SMD/SMT 0603 16VDC 2.2uF 10% X7S</t>
  </si>
  <si>
    <t>810-C1608X7S1C225K08</t>
  </si>
  <si>
    <t>https://au.mouser.com/ProductDetail/TDK/C1608X7S1C225K080AE?qs=sGAEpiMZZMsh%252B1woXyUXj4o8uGOj6yOa%2F2JNARaH%252BUU%3D</t>
  </si>
  <si>
    <t>2.2uF, 603 (in)</t>
  </si>
  <si>
    <t>(D1)</t>
  </si>
  <si>
    <t>Not The same one as schematic, double check if compatible</t>
  </si>
  <si>
    <t>RCC06031K00FKEA</t>
  </si>
  <si>
    <t>Thick Film Resistors - SMD 1/5W 1Kohms 1% 100ppm</t>
  </si>
  <si>
    <t>71-RCC06031K00FKEA</t>
  </si>
  <si>
    <t>https://au.mouser.com/ProductDetail/Vishay-Dale/RCC06031K00FKEA?qs=sGAEpiMZZMtlubZbdhIBINZyO39%252BOXIfPVP5mE%2FLgUo%3D</t>
  </si>
  <si>
    <t>CGA3E3X7T0G106M080AB</t>
  </si>
  <si>
    <t>Multilayer Ceramic Capacitors MLCC - SMD/SMT 0603 4VDC 10uF 20% X7T AEC-Q200 EPOXY ONLY</t>
  </si>
  <si>
    <t>810-CGA3E3X7T0G106M0</t>
  </si>
  <si>
    <t>https://au.mouser.com/ProductDetail/TDK/CGA3E3X7T0G106M080AB?qs=sGAEpiMZZMsh%252B1woXyUXjzCAKOm63x3oUafVoeFPjqg%3D</t>
  </si>
  <si>
    <t>10uF, 603 (in)</t>
  </si>
  <si>
    <t>220uF 4V, 1206 (in)</t>
  </si>
  <si>
    <t>GRM31CC80G227ME11L</t>
  </si>
  <si>
    <t>Multilayer Ceramic Capacitors MLCC - SMD/SMT 220UF 4V 20% 1206</t>
  </si>
  <si>
    <t>81-GRM31CC80G227ME1L</t>
  </si>
  <si>
    <t>https://au.mouser.com/ProductDetail/Murata-Electronics/GRM31CC80G227ME11L?qs=sGAEpiMZZMsh%252B1woXyUXj%2FxCjkItOqpdtJ17yM6JR6A%3D</t>
  </si>
  <si>
    <t>470nF, 603</t>
  </si>
  <si>
    <t>Filter Cap.</t>
  </si>
  <si>
    <t>C2, C5, C6, C8, C9, C10, C11, C18, C19, C23, C25, C28, C30, C31, C32, C35, C45, C46, C48</t>
  </si>
  <si>
    <t>C1, C7, C12, C13, C14, C17, C22, C27, C36, C37, C38, C40, C47</t>
  </si>
  <si>
    <t>LIS3MDLTR</t>
  </si>
  <si>
    <t>Board Mount Hall Effect/Magnetic Sensors Ultra Lo-Pwr Hi Perf 3-Axis 1.9-3.6V</t>
  </si>
  <si>
    <t>511-LIS3MDLTR</t>
  </si>
  <si>
    <t>https://au.mouser.com/ProductDetail/STMicroelectronics/LIS3MDLTR?qs=hnsWAVXnr6EbLE48dGN9Pg%3D%3D</t>
  </si>
  <si>
    <t>U3</t>
  </si>
  <si>
    <t>GCM188R71H103KA37J</t>
  </si>
  <si>
    <t>Multilayer Ceramic Capacitors MLCC - SMD/SMT PLEASE SEE MURATA'S SUGGESTED ALTERNATE GCM155R71H103KA55D</t>
  </si>
  <si>
    <t>81-GCM188R71H103KA7J</t>
  </si>
  <si>
    <t>https://au.mouser.com/ProductDetail/Murata-Electronics/GCM188R71H103KA37J?qs=N3Kl9KD794T3%2FxlXdF0Axg%3D%3D</t>
  </si>
  <si>
    <t>GRM31CR61A107MEA8K</t>
  </si>
  <si>
    <t>Multilayer Ceramic Capacitors MLCC - SMD/SMT 100UF 10V 20% 3216</t>
  </si>
  <si>
    <t>81-GRM31CR61A107MA8K</t>
  </si>
  <si>
    <t>https://au.mouser.com/ProductDetail/Murata-Electronics/GRM31CR61A107MEA8K?qs=hd1VzrDQEGiKPwOlEhCnYw%3D%3D</t>
  </si>
  <si>
    <t>MMSZ5232BT1G</t>
  </si>
  <si>
    <t>Zener Diodes 5.6V 500mW</t>
  </si>
  <si>
    <t>863-MMSZ5232BT1G</t>
  </si>
  <si>
    <t>https://au.mouser.com/ProductDetail/onsemi/MMSZ5232BT1G?qs=P4IOph%252Bbot%2FernOvVDK3Ig%3D%3D</t>
  </si>
  <si>
    <t>Expected 29/08/2022</t>
  </si>
  <si>
    <t>Back oder despatch 21/09/2022</t>
  </si>
  <si>
    <t>J5, J14</t>
  </si>
  <si>
    <t>J6, J13</t>
  </si>
  <si>
    <t>J3, J7, J8, J9</t>
  </si>
  <si>
    <t>M50-3100545</t>
  </si>
  <si>
    <t>Headers &amp; Wire Housings 05+05 DIL SMT GOLD VERTICAL SOCKET</t>
  </si>
  <si>
    <t>855-M50-3100545</t>
  </si>
  <si>
    <t>https://au.mouser.com/ProductDetail/Harwin/M50-3100545?qs=Jph8NoUxIfUarVN5NMn2Ag%3D%3D</t>
  </si>
  <si>
    <t>JP1</t>
  </si>
  <si>
    <t>TSW-106-08-F-T-RA</t>
  </si>
  <si>
    <t>Headers &amp; Wire Housings Classic PCB Header Strips, 0.100 pitch</t>
  </si>
  <si>
    <t>200-TSW10608FTRA</t>
  </si>
  <si>
    <t>https://au.mouser.com/ProductDetail/Samtec/TSW-106-08-F-T-RA?qs=%252BZP6%2F%252BtExtAMBmbTUZgOoQ%3D%3D</t>
  </si>
  <si>
    <t>(J10, J11, J12)</t>
  </si>
  <si>
    <t>(J10, J11, J12) All in one right angle</t>
  </si>
  <si>
    <t>Ordered</t>
  </si>
  <si>
    <t>NO</t>
  </si>
  <si>
    <t>https://www.win-source.net/tdk-invensense-icm-20948.html</t>
  </si>
  <si>
    <t>Win Source Electronics</t>
  </si>
  <si>
    <t>IMU ACCEL/GYRO/COMPI2C/SPI 24QFN</t>
  </si>
  <si>
    <t>846576-ICM-20948</t>
  </si>
  <si>
    <t>Minimum QTY Purchase 2+</t>
  </si>
  <si>
    <t>YES</t>
  </si>
  <si>
    <t>BACKORDER</t>
  </si>
  <si>
    <t>R6, R7</t>
  </si>
  <si>
    <t>C1, C7, C12, C13, C14, C17, C20, C22, C27, C36, C37, C38, C40, C47</t>
  </si>
  <si>
    <t>C2, C5, C6, C8, C9, C10, C11, C18, C19, C21, C23, C25, C28, C30, C31, C32, C35, C45, C46, C48</t>
  </si>
  <si>
    <t>R3, R20, R24, R25, R26, R27, R28, R29, R30, R31, R34, R35, R36, R37, R38, R39, R44, R45, R46</t>
  </si>
  <si>
    <t>https://au.mouser.com/ProductDetail/Diodes-Incorporated/74LVC1G86SE-7?qs=8Dv1RiiPiVJ%252BnYSWg3kTgg%3D%3D</t>
  </si>
  <si>
    <t>Logic Gates LOGICLVCXOR GATE1</t>
  </si>
  <si>
    <t>621-74LVC1G86SE-7</t>
  </si>
  <si>
    <t>DiodesZetex AP7365-33WG-7, 1 Low Dropout Voltage, Voltage Regulator 600mA, 3.3 V 5-Pin, SOT-25</t>
  </si>
  <si>
    <t>921-0619</t>
  </si>
  <si>
    <t>https://my.rs-online.com/web/p/voltage-regulators/9210619</t>
  </si>
  <si>
    <t>Min QTY Purchase 30</t>
  </si>
  <si>
    <t>Arrived</t>
  </si>
  <si>
    <t>Ordered from AliExpress (fingercross will work)</t>
  </si>
  <si>
    <t>Partial</t>
  </si>
  <si>
    <t>IMU ACCEL/GYRO I2C/SPI 16LGA</t>
  </si>
  <si>
    <t>1428-1052-1-ND</t>
  </si>
  <si>
    <t>https://www.digikey.com.au/en/products/detail/tdk-invensense/ICM-20608-G/5177387?utm_adgroup=General&amp;utm_source=google&amp;utm_medium=cpc&amp;utm_campaign=PMax%20Shopping_Product_Zombie%20SKUS&amp;utm_term=&amp;productid=5177387&amp;utm_id=go_cmp-17853854068_adg-_ad-__dev-c_ext-_prd-5177387_sig-EAIaIQobChMInuXgnPCr-QIV0oJLBR2cawKjEAQYAiABEgIJfPD_BwE&amp;gclid=EAIaIQobChMInuXgnPCr-QIV0oJLBR2cawKjEAQYAiABEgIJfPD_BwE</t>
  </si>
  <si>
    <t>^In replacement for ICM-20602, this one uses PixRacer V14</t>
  </si>
  <si>
    <t xml:space="preserve">C41, C42 </t>
  </si>
  <si>
    <t>100uF, 10V, 1206 (in) (On Backorder, Was in stock… 27/10/22)</t>
  </si>
  <si>
    <t>Was in stock, Now on Backorder 3/10/22</t>
  </si>
  <si>
    <t>Was Expected 29/08/2022, Now 03/10/22</t>
  </si>
  <si>
    <t>Element14</t>
  </si>
  <si>
    <t>https://au.element14.com/nxp/tja1051tk-3-118/can-transceiver-aec-q100-5mbps/dp/2776121</t>
  </si>
  <si>
    <t>^^</t>
  </si>
  <si>
    <t>GRM31CR61A107ME05L</t>
  </si>
  <si>
    <t>Multilayer Ceramic Capacitors MLCC - SMD/SMT 100UF 10V 20% 1206</t>
  </si>
  <si>
    <t>81-GRM31CR61A107ME5L</t>
  </si>
  <si>
    <t>https://au.mouser.com/ProductDetail/Murata-Electronics/GRM31CR61A107ME05L?qs=chTDxNqvsylSo93CzdbYkQ%3D%3D</t>
  </si>
  <si>
    <t>100uF, 10V, 1206 (in)  ^^Same as above</t>
  </si>
  <si>
    <t>PMEG1030EH,115</t>
  </si>
  <si>
    <t>Schottky Diodes &amp; Rectifiers PMEG1030EH/SOD123F/SOD2</t>
  </si>
  <si>
    <t>771-PMEG1030EH-T/R</t>
  </si>
  <si>
    <t>https://au.mouser.com/ProductDetail/Nexperia/PMEG1030EH115?qs=LOCUfHb8d9uVcQd0kSivzA%3D%3D</t>
  </si>
  <si>
    <t>^^ (Different Pacakge)</t>
  </si>
  <si>
    <t>SSM-105-L-DV</t>
  </si>
  <si>
    <t>Headers &amp; Wire Housings Surface Mount PCB Socket Strips, 0.100 pitch</t>
  </si>
  <si>
    <t>200-SSM105LDV</t>
  </si>
  <si>
    <t>https://au.mouser.com/ProductDetail/Samtec/SSM-105-L-DV?qs=92ilVni64gwpNieSff7mAQ%3D%3D</t>
  </si>
  <si>
    <t>D4A</t>
  </si>
  <si>
    <t>D4B</t>
  </si>
  <si>
    <t>Stocktake 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</si>
</sst>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164" formatCode="&quot;$&quot;#,##0.000;[Red]\-&quot;$&quot;#,##0.000"/>
  </numFmts>
  <fonts count="8" x14ac:knownFonts="1">
    <font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3333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5" fillId="5" borderId="0" applyNumberFormat="0" applyBorder="0" applyAlignment="0" applyProtection="0"/>
    <xf numFmtId="0" fontId="6" fillId="6" borderId="0" applyNumberFormat="0" applyBorder="0" applyAlignment="0" applyProtection="0"/>
  </cellStyleXfs>
  <cellXfs count="34">
    <xf numFmtId="0" fontId="0" fillId="0" borderId="0" xfId="0"/>
    <xf numFmtId="8" fontId="0" fillId="0" borderId="0" xfId="0" applyNumberFormat="1"/>
    <xf numFmtId="0" fontId="1" fillId="0" borderId="0" xfId="0" applyFont="1"/>
    <xf numFmtId="0" fontId="2" fillId="0" borderId="0" xfId="1"/>
    <xf numFmtId="0" fontId="3" fillId="2" borderId="0" xfId="0" applyFont="1" applyFill="1"/>
    <xf numFmtId="0" fontId="3" fillId="0" borderId="0" xfId="0" applyFont="1"/>
    <xf numFmtId="0" fontId="4" fillId="0" borderId="0" xfId="1" applyFont="1" applyFill="1"/>
    <xf numFmtId="0" fontId="3" fillId="0" borderId="0" xfId="0" applyFont="1" applyAlignment="1">
      <alignment wrapText="1"/>
    </xf>
    <xf numFmtId="0" fontId="2" fillId="0" borderId="0" xfId="1" applyFill="1"/>
    <xf numFmtId="164" fontId="0" fillId="0" borderId="0" xfId="0" applyNumberFormat="1"/>
    <xf numFmtId="164" fontId="3" fillId="0" borderId="0" xfId="0" applyNumberFormat="1" applyFont="1"/>
    <xf numFmtId="0" fontId="0" fillId="3" borderId="0" xfId="0" applyFill="1"/>
    <xf numFmtId="0" fontId="3" fillId="3" borderId="0" xfId="0" applyFont="1" applyFill="1"/>
    <xf numFmtId="0" fontId="0" fillId="2" borderId="0" xfId="0" applyFill="1"/>
    <xf numFmtId="0" fontId="0" fillId="0" borderId="0" xfId="0" applyAlignment="1">
      <alignment wrapText="1"/>
    </xf>
    <xf numFmtId="0" fontId="3" fillId="4" borderId="0" xfId="0" applyFont="1" applyFill="1"/>
    <xf numFmtId="0" fontId="4" fillId="4" borderId="0" xfId="1" applyFont="1" applyFill="1"/>
    <xf numFmtId="164" fontId="3" fillId="4" borderId="0" xfId="0" applyNumberFormat="1" applyFont="1" applyFill="1"/>
    <xf numFmtId="8" fontId="0" fillId="4" borderId="0" xfId="0" applyNumberFormat="1" applyFill="1"/>
    <xf numFmtId="0" fontId="0" fillId="4" borderId="0" xfId="0" applyFill="1"/>
    <xf numFmtId="0" fontId="2" fillId="4" borderId="0" xfId="1" applyFill="1"/>
    <xf numFmtId="0" fontId="7" fillId="0" borderId="0" xfId="0" applyFont="1"/>
    <xf numFmtId="0" fontId="5" fillId="5" borderId="0" xfId="2"/>
    <xf numFmtId="8" fontId="5" fillId="5" borderId="0" xfId="2" applyNumberFormat="1"/>
    <xf numFmtId="8" fontId="3" fillId="0" borderId="0" xfId="0" applyNumberFormat="1" applyFont="1"/>
    <xf numFmtId="0" fontId="6" fillId="6" borderId="0" xfId="3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Fill="1"/>
    <xf numFmtId="0" fontId="0" fillId="0" borderId="0" xfId="0" applyFill="1" applyBorder="1"/>
  </cellXfs>
  <cellStyles count="4">
    <cellStyle name="Bad" xfId="2" builtinId="27"/>
    <cellStyle name="Hyperlink" xfId="1" builtinId="8"/>
    <cellStyle name="Neutral" xfId="3" builtinId="28"/>
    <cellStyle name="Normal" xfId="0" builtinId="0"/>
  </cellStyles>
  <dxfs count="6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5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11" Type="http://schemas.openxmlformats.org/officeDocument/2006/relationships/calcChain" Target="calcChain.xml"/><Relationship Id="rId5" Type="http://schemas.openxmlformats.org/officeDocument/2006/relationships/chartsheet" Target="chartsheets/sheet2.xml"/><Relationship Id="rId10" Type="http://schemas.openxmlformats.org/officeDocument/2006/relationships/sharedStrings" Target="sharedStrings.xml"/><Relationship Id="rId4" Type="http://schemas.openxmlformats.org/officeDocument/2006/relationships/chartsheet" Target="chartsheets/sheet1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'Current (V1) Schematic BOM Alt.'!$N$1:$N$59</c:f>
              <c:strCache>
                <c:ptCount val="59"/>
                <c:pt idx="0">
                  <c:v>Stocktake 12/2025</c:v>
                </c:pt>
                <c:pt idx="1">
                  <c:v>YES</c:v>
                </c:pt>
                <c:pt idx="2">
                  <c:v>YES</c:v>
                </c:pt>
                <c:pt idx="3">
                  <c:v>YES</c:v>
                </c:pt>
                <c:pt idx="4">
                  <c:v>YES</c:v>
                </c:pt>
                <c:pt idx="5">
                  <c:v>YES</c:v>
                </c:pt>
                <c:pt idx="6">
                  <c:v>YES</c:v>
                </c:pt>
                <c:pt idx="7">
                  <c:v>YES</c:v>
                </c:pt>
                <c:pt idx="8">
                  <c:v>YES</c:v>
                </c:pt>
                <c:pt idx="9">
                  <c:v>YES</c:v>
                </c:pt>
                <c:pt idx="10">
                  <c:v>YES</c:v>
                </c:pt>
                <c:pt idx="11">
                  <c:v>YES</c:v>
                </c:pt>
                <c:pt idx="12">
                  <c:v>YES</c:v>
                </c:pt>
                <c:pt idx="13">
                  <c:v>YES</c:v>
                </c:pt>
                <c:pt idx="14">
                  <c:v>YES</c:v>
                </c:pt>
                <c:pt idx="15">
                  <c:v>YES</c:v>
                </c:pt>
                <c:pt idx="16">
                  <c:v>YES</c:v>
                </c:pt>
                <c:pt idx="17">
                  <c:v>YES</c:v>
                </c:pt>
                <c:pt idx="18">
                  <c:v>YES</c:v>
                </c:pt>
                <c:pt idx="19">
                  <c:v>YES</c:v>
                </c:pt>
                <c:pt idx="20">
                  <c:v>YES</c:v>
                </c:pt>
                <c:pt idx="21">
                  <c:v>YES</c:v>
                </c:pt>
                <c:pt idx="22">
                  <c:v>YES</c:v>
                </c:pt>
                <c:pt idx="23">
                  <c:v>YES</c:v>
                </c:pt>
                <c:pt idx="24">
                  <c:v>YES</c:v>
                </c:pt>
                <c:pt idx="25">
                  <c:v>YES</c:v>
                </c:pt>
                <c:pt idx="26">
                  <c:v>YES</c:v>
                </c:pt>
                <c:pt idx="27">
                  <c:v>YES</c:v>
                </c:pt>
                <c:pt idx="28">
                  <c:v>YES</c:v>
                </c:pt>
                <c:pt idx="29">
                  <c:v>YES</c:v>
                </c:pt>
                <c:pt idx="30">
                  <c:v>YES</c:v>
                </c:pt>
                <c:pt idx="31">
                  <c:v>YES</c:v>
                </c:pt>
                <c:pt idx="32">
                  <c:v>YES</c:v>
                </c:pt>
                <c:pt idx="33">
                  <c:v>YES</c:v>
                </c:pt>
                <c:pt idx="34">
                  <c:v>YES</c:v>
                </c:pt>
                <c:pt idx="35">
                  <c:v>YES</c:v>
                </c:pt>
                <c:pt idx="36">
                  <c:v>YES</c:v>
                </c:pt>
                <c:pt idx="37">
                  <c:v>YES</c:v>
                </c:pt>
                <c:pt idx="38">
                  <c:v>YES</c:v>
                </c:pt>
                <c:pt idx="39">
                  <c:v>YES</c:v>
                </c:pt>
                <c:pt idx="40">
                  <c:v>YES</c:v>
                </c:pt>
                <c:pt idx="41">
                  <c:v>YES</c:v>
                </c:pt>
                <c:pt idx="42">
                  <c:v>YES</c:v>
                </c:pt>
                <c:pt idx="43">
                  <c:v>YES</c:v>
                </c:pt>
                <c:pt idx="44">
                  <c:v>YES</c:v>
                </c:pt>
                <c:pt idx="45">
                  <c:v>YES</c:v>
                </c:pt>
                <c:pt idx="46">
                  <c:v>YES</c:v>
                </c:pt>
                <c:pt idx="47">
                  <c:v>YES</c:v>
                </c:pt>
                <c:pt idx="48">
                  <c:v>YES</c:v>
                </c:pt>
                <c:pt idx="49">
                  <c:v>YES</c:v>
                </c:pt>
                <c:pt idx="50">
                  <c:v>YES</c:v>
                </c:pt>
                <c:pt idx="51">
                  <c:v>YES</c:v>
                </c:pt>
                <c:pt idx="52">
                  <c:v>YES</c:v>
                </c:pt>
                <c:pt idx="53">
                  <c:v>YES</c:v>
                </c:pt>
                <c:pt idx="54">
                  <c:v>YES</c:v>
                </c:pt>
                <c:pt idx="55">
                  <c:v>YES</c:v>
                </c:pt>
                <c:pt idx="56">
                  <c:v>YES</c:v>
                </c:pt>
                <c:pt idx="57">
                  <c:v>YES</c:v>
                </c:pt>
                <c:pt idx="58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'Current (V1) Schematic BOM Alt.'!$A$60:$M$61</c:f>
              <c:multiLvlStrCache>
                <c:ptCount val="2"/>
                <c:lvl>
                  <c:pt idx="0">
                    <c:v>YES</c:v>
                  </c:pt>
                  <c:pt idx="1">
                    <c:v>YES</c:v>
                  </c:pt>
                </c:lvl>
                <c:lvl>
                  <c:pt idx="0">
                    <c:v>YES</c:v>
                  </c:pt>
                  <c:pt idx="1">
                    <c:v>YES</c:v>
                  </c:pt>
                </c:lvl>
                <c:lvl>
                  <c:pt idx="0">
                    <c:v>$5.92</c:v>
                  </c:pt>
                  <c:pt idx="1">
                    <c:v>$1.77</c:v>
                  </c:pt>
                </c:lvl>
                <c:lvl>
                  <c:pt idx="0">
                    <c:v>1</c:v>
                  </c:pt>
                  <c:pt idx="1">
                    <c:v>1</c:v>
                  </c:pt>
                </c:lvl>
                <c:lvl>
                  <c:pt idx="0">
                    <c:v>$5.92</c:v>
                  </c:pt>
                  <c:pt idx="1">
                    <c:v>$1.77</c:v>
                  </c:pt>
                </c:lvl>
                <c:lvl>
                  <c:pt idx="0">
                    <c:v>https://au.mouser.com/ProductDetail/STMicroelectronics/LIS3MDLTR?qs=hnsWAVXnr6EbLE48dGN9Pg%3D%3D</c:v>
                  </c:pt>
                  <c:pt idx="1">
                    <c:v>https://au.mouser.com/ProductDetail/Epson-Timing/FA-20H-24.0000MF20X-K3?qs=CANAagUtPAp2w31393daZQ%3D%3D</c:v>
                  </c:pt>
                </c:lvl>
                <c:lvl>
                  <c:pt idx="0">
                    <c:v>511-LIS3MDLTR</c:v>
                  </c:pt>
                  <c:pt idx="1">
                    <c:v>732-FA20H-24F20X-K3</c:v>
                  </c:pt>
                </c:lvl>
                <c:lvl>
                  <c:pt idx="0">
                    <c:v>Mouser</c:v>
                  </c:pt>
                  <c:pt idx="1">
                    <c:v>Mouser</c:v>
                  </c:pt>
                </c:lvl>
                <c:lvl>
                  <c:pt idx="0">
                    <c:v>U3</c:v>
                  </c:pt>
                  <c:pt idx="1">
                    <c:v>Y1</c:v>
                  </c:pt>
                </c:lvl>
                <c:lvl>
                  <c:pt idx="0">
                    <c:v>Board Mount Hall Effect/Magnetic Sensors Ultra Lo-Pwr Hi Perf 3-Axis 1.9-3.6V</c:v>
                  </c:pt>
                  <c:pt idx="1">
                    <c:v>Crystals 24MHz 10ppm 10pF -40C +85C</c:v>
                  </c:pt>
                </c:lvl>
                <c:lvl>
                  <c:pt idx="0">
                    <c:v>LIS3MDLTR</c:v>
                  </c:pt>
                  <c:pt idx="1">
                    <c:v>FA-20H 24.0000MF20X-K3</c:v>
                  </c:pt>
                </c:lvl>
                <c:lvl>
                  <c:pt idx="0">
                    <c:v>LIS3MDLTR</c:v>
                  </c:pt>
                  <c:pt idx="1">
                    <c:v>FA-20H 24.0000MF20X-K3</c:v>
                  </c:pt>
                </c:lvl>
              </c:multiLvlStrCache>
            </c:multiLvlStrRef>
          </c:cat>
          <c:val>
            <c:numRef>
              <c:f>'Current (V1) Schematic BOM Alt.'!$N$60:$N$61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CB-4328-9E63-372AB7AF7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5710143"/>
        <c:axId val="382070063"/>
      </c:barChart>
      <c:catAx>
        <c:axId val="225710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070063"/>
        <c:crosses val="autoZero"/>
        <c:auto val="1"/>
        <c:lblAlgn val="ctr"/>
        <c:lblOffset val="100"/>
        <c:noMultiLvlLbl val="0"/>
      </c:catAx>
      <c:valAx>
        <c:axId val="382070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710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'Current (V1) Schematic BOM Alt.'!$N$1:$N$59</c:f>
              <c:strCache>
                <c:ptCount val="59"/>
                <c:pt idx="0">
                  <c:v>Stocktake 12/2025</c:v>
                </c:pt>
                <c:pt idx="1">
                  <c:v>YES</c:v>
                </c:pt>
                <c:pt idx="2">
                  <c:v>YES</c:v>
                </c:pt>
                <c:pt idx="3">
                  <c:v>YES</c:v>
                </c:pt>
                <c:pt idx="4">
                  <c:v>YES</c:v>
                </c:pt>
                <c:pt idx="5">
                  <c:v>YES</c:v>
                </c:pt>
                <c:pt idx="6">
                  <c:v>YES</c:v>
                </c:pt>
                <c:pt idx="7">
                  <c:v>YES</c:v>
                </c:pt>
                <c:pt idx="8">
                  <c:v>YES</c:v>
                </c:pt>
                <c:pt idx="9">
                  <c:v>YES</c:v>
                </c:pt>
                <c:pt idx="10">
                  <c:v>YES</c:v>
                </c:pt>
                <c:pt idx="11">
                  <c:v>YES</c:v>
                </c:pt>
                <c:pt idx="12">
                  <c:v>YES</c:v>
                </c:pt>
                <c:pt idx="13">
                  <c:v>YES</c:v>
                </c:pt>
                <c:pt idx="14">
                  <c:v>YES</c:v>
                </c:pt>
                <c:pt idx="15">
                  <c:v>YES</c:v>
                </c:pt>
                <c:pt idx="16">
                  <c:v>YES</c:v>
                </c:pt>
                <c:pt idx="17">
                  <c:v>YES</c:v>
                </c:pt>
                <c:pt idx="18">
                  <c:v>YES</c:v>
                </c:pt>
                <c:pt idx="19">
                  <c:v>YES</c:v>
                </c:pt>
                <c:pt idx="20">
                  <c:v>YES</c:v>
                </c:pt>
                <c:pt idx="21">
                  <c:v>YES</c:v>
                </c:pt>
                <c:pt idx="22">
                  <c:v>YES</c:v>
                </c:pt>
                <c:pt idx="23">
                  <c:v>YES</c:v>
                </c:pt>
                <c:pt idx="24">
                  <c:v>YES</c:v>
                </c:pt>
                <c:pt idx="25">
                  <c:v>YES</c:v>
                </c:pt>
                <c:pt idx="26">
                  <c:v>YES</c:v>
                </c:pt>
                <c:pt idx="27">
                  <c:v>YES</c:v>
                </c:pt>
                <c:pt idx="28">
                  <c:v>YES</c:v>
                </c:pt>
                <c:pt idx="29">
                  <c:v>YES</c:v>
                </c:pt>
                <c:pt idx="30">
                  <c:v>YES</c:v>
                </c:pt>
                <c:pt idx="31">
                  <c:v>YES</c:v>
                </c:pt>
                <c:pt idx="32">
                  <c:v>YES</c:v>
                </c:pt>
                <c:pt idx="33">
                  <c:v>YES</c:v>
                </c:pt>
                <c:pt idx="34">
                  <c:v>YES</c:v>
                </c:pt>
                <c:pt idx="35">
                  <c:v>YES</c:v>
                </c:pt>
                <c:pt idx="36">
                  <c:v>YES</c:v>
                </c:pt>
                <c:pt idx="37">
                  <c:v>YES</c:v>
                </c:pt>
                <c:pt idx="38">
                  <c:v>YES</c:v>
                </c:pt>
                <c:pt idx="39">
                  <c:v>YES</c:v>
                </c:pt>
                <c:pt idx="40">
                  <c:v>YES</c:v>
                </c:pt>
                <c:pt idx="41">
                  <c:v>YES</c:v>
                </c:pt>
                <c:pt idx="42">
                  <c:v>YES</c:v>
                </c:pt>
                <c:pt idx="43">
                  <c:v>YES</c:v>
                </c:pt>
                <c:pt idx="44">
                  <c:v>YES</c:v>
                </c:pt>
                <c:pt idx="45">
                  <c:v>YES</c:v>
                </c:pt>
                <c:pt idx="46">
                  <c:v>YES</c:v>
                </c:pt>
                <c:pt idx="47">
                  <c:v>YES</c:v>
                </c:pt>
                <c:pt idx="48">
                  <c:v>YES</c:v>
                </c:pt>
                <c:pt idx="49">
                  <c:v>YES</c:v>
                </c:pt>
                <c:pt idx="50">
                  <c:v>YES</c:v>
                </c:pt>
                <c:pt idx="51">
                  <c:v>YES</c:v>
                </c:pt>
                <c:pt idx="52">
                  <c:v>YES</c:v>
                </c:pt>
                <c:pt idx="53">
                  <c:v>YES</c:v>
                </c:pt>
                <c:pt idx="54">
                  <c:v>YES</c:v>
                </c:pt>
                <c:pt idx="55">
                  <c:v>YES</c:v>
                </c:pt>
                <c:pt idx="56">
                  <c:v>YES</c:v>
                </c:pt>
                <c:pt idx="57">
                  <c:v>YES</c:v>
                </c:pt>
                <c:pt idx="58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'Current (V1) Schematic BOM Alt.'!$A$60:$M$61</c:f>
              <c:multiLvlStrCache>
                <c:ptCount val="2"/>
                <c:lvl>
                  <c:pt idx="0">
                    <c:v>YES</c:v>
                  </c:pt>
                  <c:pt idx="1">
                    <c:v>YES</c:v>
                  </c:pt>
                </c:lvl>
                <c:lvl>
                  <c:pt idx="0">
                    <c:v>YES</c:v>
                  </c:pt>
                  <c:pt idx="1">
                    <c:v>YES</c:v>
                  </c:pt>
                </c:lvl>
                <c:lvl>
                  <c:pt idx="0">
                    <c:v>$5.92</c:v>
                  </c:pt>
                  <c:pt idx="1">
                    <c:v>$1.77</c:v>
                  </c:pt>
                </c:lvl>
                <c:lvl>
                  <c:pt idx="0">
                    <c:v>1</c:v>
                  </c:pt>
                  <c:pt idx="1">
                    <c:v>1</c:v>
                  </c:pt>
                </c:lvl>
                <c:lvl>
                  <c:pt idx="0">
                    <c:v>$5.92</c:v>
                  </c:pt>
                  <c:pt idx="1">
                    <c:v>$1.77</c:v>
                  </c:pt>
                </c:lvl>
                <c:lvl>
                  <c:pt idx="0">
                    <c:v>https://au.mouser.com/ProductDetail/STMicroelectronics/LIS3MDLTR?qs=hnsWAVXnr6EbLE48dGN9Pg%3D%3D</c:v>
                  </c:pt>
                  <c:pt idx="1">
                    <c:v>https://au.mouser.com/ProductDetail/Epson-Timing/FA-20H-24.0000MF20X-K3?qs=CANAagUtPAp2w31393daZQ%3D%3D</c:v>
                  </c:pt>
                </c:lvl>
                <c:lvl>
                  <c:pt idx="0">
                    <c:v>511-LIS3MDLTR</c:v>
                  </c:pt>
                  <c:pt idx="1">
                    <c:v>732-FA20H-24F20X-K3</c:v>
                  </c:pt>
                </c:lvl>
                <c:lvl>
                  <c:pt idx="0">
                    <c:v>Mouser</c:v>
                  </c:pt>
                  <c:pt idx="1">
                    <c:v>Mouser</c:v>
                  </c:pt>
                </c:lvl>
                <c:lvl>
                  <c:pt idx="0">
                    <c:v>U3</c:v>
                  </c:pt>
                  <c:pt idx="1">
                    <c:v>Y1</c:v>
                  </c:pt>
                </c:lvl>
                <c:lvl>
                  <c:pt idx="0">
                    <c:v>Board Mount Hall Effect/Magnetic Sensors Ultra Lo-Pwr Hi Perf 3-Axis 1.9-3.6V</c:v>
                  </c:pt>
                  <c:pt idx="1">
                    <c:v>Crystals 24MHz 10ppm 10pF -40C +85C</c:v>
                  </c:pt>
                </c:lvl>
                <c:lvl>
                  <c:pt idx="0">
                    <c:v>LIS3MDLTR</c:v>
                  </c:pt>
                  <c:pt idx="1">
                    <c:v>FA-20H 24.0000MF20X-K3</c:v>
                  </c:pt>
                </c:lvl>
                <c:lvl>
                  <c:pt idx="0">
                    <c:v>LIS3MDLTR</c:v>
                  </c:pt>
                  <c:pt idx="1">
                    <c:v>FA-20H 24.0000MF20X-K3</c:v>
                  </c:pt>
                </c:lvl>
              </c:multiLvlStrCache>
            </c:multiLvlStrRef>
          </c:cat>
          <c:val>
            <c:numRef>
              <c:f>'Current (V1) Schematic BOM Alt.'!$N$60:$N$61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0D-4229-912E-350FF2884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8251647"/>
        <c:axId val="228252127"/>
      </c:barChart>
      <c:catAx>
        <c:axId val="228251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252127"/>
        <c:crosses val="autoZero"/>
        <c:auto val="1"/>
        <c:lblAlgn val="ctr"/>
        <c:lblOffset val="100"/>
        <c:noMultiLvlLbl val="0"/>
      </c:catAx>
      <c:valAx>
        <c:axId val="22825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251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54D9096-E77A-48EC-BF6A-A191752582FD}">
  <sheetPr/>
  <sheetViews>
    <sheetView zoomScale="121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4991BA3-826E-4FF4-91D2-E66F2C07A02D}">
  <sheetPr/>
  <sheetViews>
    <sheetView zoomScale="12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4587" cy="607710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18B24F-7C0E-47FE-C3C8-4E627B14380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4587" cy="607710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2282BE-F51F-A05D-47FF-77A0D53AA1C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u.mouser.com/ProductDetail/Texas-Instruments/LP5907QMFX-3.3Q1?qs=asCBFxFfL1RsL2VYqGFsBQ%3D%3D" TargetMode="External"/><Relationship Id="rId18" Type="http://schemas.openxmlformats.org/officeDocument/2006/relationships/hyperlink" Target="https://au.mouser.com/ProductDetail/Taiyo-Yuden/EMF107B7474KAHT?qs=sGAEpiMZZMsh%252B1woXyUXj30ZYomYlxpXbZmTEzBsZ7s%3D" TargetMode="External"/><Relationship Id="rId26" Type="http://schemas.openxmlformats.org/officeDocument/2006/relationships/hyperlink" Target="https://au.mouser.com/ProductDetail/KEMET/C0603X103F3GACTU?qs=ds50AKTGxA%252BILxGUD7xKPw%3D%3D" TargetMode="External"/><Relationship Id="rId39" Type="http://schemas.openxmlformats.org/officeDocument/2006/relationships/hyperlink" Target="https://au.mouser.com/ProductDetail/Kyocera-AVX/TLJA107M010R1400?qs=sGAEpiMZZMsh%252B1woXyUXj%2FySn2ICKKERp8aWU3DKthM%3D" TargetMode="External"/><Relationship Id="rId21" Type="http://schemas.openxmlformats.org/officeDocument/2006/relationships/hyperlink" Target="https://au.mouser.com/ProductDetail/onsemi/NCP163ASN180T1G?qs=vLWxofP3U2z0o2tJM%252BNAYw%3D%3D" TargetMode="External"/><Relationship Id="rId34" Type="http://schemas.openxmlformats.org/officeDocument/2006/relationships/hyperlink" Target="https://au.mouser.com/ProductDetail/Panasonic/ERA-3VEB1501V?qs=sGAEpiMZZMtlubZbdhIBIFX24rZb7BVEH%252BWfeSYccGI%3D" TargetMode="External"/><Relationship Id="rId42" Type="http://schemas.openxmlformats.org/officeDocument/2006/relationships/hyperlink" Target="https://au.mouser.com/ProductDetail/Nexperia/PMEG1030EJ115?qs=LOCUfHb8d9vmk7P%2FuYbs5A%3D%3D" TargetMode="External"/><Relationship Id="rId47" Type="http://schemas.openxmlformats.org/officeDocument/2006/relationships/hyperlink" Target="https://au.mouser.com/ProductDetail/Micro-Commercial-Components-MCC/1N4448X-TP?qs=0RDYWt4CO4fFI8HfN%2F4aEA%3D%3D" TargetMode="External"/><Relationship Id="rId50" Type="http://schemas.openxmlformats.org/officeDocument/2006/relationships/hyperlink" Target="https://au.mouser.com/ProductDetail/Diodes-Incorporated/AP7365-33WG-7?qs=abZ1nkZpTuOZFvxvoFPL0w%3D%3D" TargetMode="External"/><Relationship Id="rId7" Type="http://schemas.openxmlformats.org/officeDocument/2006/relationships/hyperlink" Target="https://au.mouser.com/ProductDetail/Taiyo-Yuden/UMR316BC7225KL-T?qs=sGAEpiMZZMsh%252B1woXyUXj30ZYomYlxpXQmjyNO27FLM%3D" TargetMode="External"/><Relationship Id="rId2" Type="http://schemas.openxmlformats.org/officeDocument/2006/relationships/hyperlink" Target="https://au.mouser.com/ProductDetail/Epson-Timing/FA-20H-24.0000MF20X-K3?qs=CANAagUtPAp2w31393daZQ%3D%3D" TargetMode="External"/><Relationship Id="rId16" Type="http://schemas.openxmlformats.org/officeDocument/2006/relationships/hyperlink" Target="https://au.mouser.com/ProductDetail/TDK-InvenSense/ICM-20948?qs=u4fy%2FsgLU9OtGc31yF%2Friw%3D%3D" TargetMode="External"/><Relationship Id="rId29" Type="http://schemas.openxmlformats.org/officeDocument/2006/relationships/hyperlink" Target="https://au.rs-online.com/web/p/pcb-headers/7521797p?cm_mmc=AU-PPC-DS3A-_-google-_-3_AU_EN_Connectors_PCB+Headers_JST_Phrase-_-JST+-+7521797P+-+SM04B-GHS-TB(LF)(SN)-_-sm04b+ghs+tb+lf+sn&amp;matchtype=p&amp;aud-828197004210:kwd-349737151659&amp;gclid=EAIaIQobChMI1ITwjq7-9wIVFBwrCh09SQ1AEAAYAiAAEgIOBfD_BwE&amp;gclsrc=aw.ds" TargetMode="External"/><Relationship Id="rId11" Type="http://schemas.openxmlformats.org/officeDocument/2006/relationships/hyperlink" Target="https://au.mouser.com/ProductDetail/Vishay-Dale/CRCW0603220RJNEAC?qs=sGAEpiMZZMtlubZbdhIBIIZe04wfiaJWuP1eVTGiDpg%3D" TargetMode="External"/><Relationship Id="rId24" Type="http://schemas.openxmlformats.org/officeDocument/2006/relationships/hyperlink" Target="https://au.mouser.com/ProductDetail/Bourns/CMP0603AFX-1004ELF?qs=sGAEpiMZZMtlubZbdhIBIIPWN1VQSu3w%252BK3x48irFUs%3D" TargetMode="External"/><Relationship Id="rId32" Type="http://schemas.openxmlformats.org/officeDocument/2006/relationships/hyperlink" Target="https://www.digikey.com.au/en/products/detail/diodes-incorporated/74LVC1G86SE-7/2330123" TargetMode="External"/><Relationship Id="rId37" Type="http://schemas.openxmlformats.org/officeDocument/2006/relationships/hyperlink" Target="https://au.mouser.com/ProductDetail/Nexperia/PMEG2020CPASX?qs=K2OaAKmNuLimeK0EUCzHKQ%3D%3D" TargetMode="External"/><Relationship Id="rId40" Type="http://schemas.openxmlformats.org/officeDocument/2006/relationships/hyperlink" Target="https://au.mouser.com/ProductDetail/ROHM-Semiconductor/BZX84B5V6LYT116?qs=QNEnbhJQKvatugwafyRm7Q%3D%3D" TargetMode="External"/><Relationship Id="rId45" Type="http://schemas.openxmlformats.org/officeDocument/2006/relationships/hyperlink" Target="https://au.mouser.com/ProductDetail/Diodes-Incorporated/DMG1012UW-7?qs=vIZ3oKQCLxp8XxWFc0YBWg%3D%3D" TargetMode="External"/><Relationship Id="rId53" Type="http://schemas.openxmlformats.org/officeDocument/2006/relationships/hyperlink" Target="https://au.mouser.com/ProductDetail/Yamaichi-Electronics/PJS008-2120-0?qs=pDnM3xHIg41mTHT1wk7bvQ%3D%3D" TargetMode="External"/><Relationship Id="rId5" Type="http://schemas.openxmlformats.org/officeDocument/2006/relationships/hyperlink" Target="https://au.mouser.com/ProductDetail/Vishay/CRMA1206AF10K0FKEF?qs=TiOZkKH1s2Q81nOs5FD1Wg%3D%3D" TargetMode="External"/><Relationship Id="rId10" Type="http://schemas.openxmlformats.org/officeDocument/2006/relationships/hyperlink" Target="https://au.mouser.com/ProductDetail/Vishay-Semiconductors/BAS70-02V-V-G-08?qs=%252BgSy6WSn%2FNx6OtWzB77ZjQ%3D%3D" TargetMode="External"/><Relationship Id="rId19" Type="http://schemas.openxmlformats.org/officeDocument/2006/relationships/hyperlink" Target="https://au.mouser.com/ProductDetail/Measurement-Specialties/MS561101BA03-50?qs=%252BgKeJhng5iV%252BnCz6Qd5iDw%3D%3D" TargetMode="External"/><Relationship Id="rId31" Type="http://schemas.openxmlformats.org/officeDocument/2006/relationships/hyperlink" Target="https://au.rs-online.com/web/p/pcb-headers/7521807p?cm_mmc=AU-PPC-DS3A-_-google-_-3_AU_EN_Connectors_PCB+Headers_JST_Phrase-_-JST+-+7521807P+-+SM05B-GHS-TB(LF)(SN)-_-sm05b+ghs+tb+lf+sn&amp;matchtype=p&amp;aud-821594433763:kwd-383463479017&amp;gclid=EAIaIQobChMI7JqB-rP-9wIVtZNmAh2j4w0kEAAYAyAAEgJjvvD_BwE&amp;gclsrc=aw.ds" TargetMode="External"/><Relationship Id="rId44" Type="http://schemas.openxmlformats.org/officeDocument/2006/relationships/hyperlink" Target="https://au.mouser.com/ProductDetail/Littelfuse/0603L100SLYR?qs=%252BPPFKVzHyAKqCAJtLoK6vw%3D%3D252BYUP1cqw4nGgeCn8kw%3D%3D" TargetMode="External"/><Relationship Id="rId52" Type="http://schemas.openxmlformats.org/officeDocument/2006/relationships/hyperlink" Target="https://au.mouser.com/ProductDetail/Infineon-Technologies/BSS223PWH6327XTSA1?qs=Dj8dEyEphkMhtpM4HseAjA%3D%3D" TargetMode="External"/><Relationship Id="rId4" Type="http://schemas.openxmlformats.org/officeDocument/2006/relationships/hyperlink" Target="https://au.mouser.com/ProductDetail/Microchip-Technology/MCP131T-300E-TT?qs=oKK8NaWdAJuugCcbQvjtFw%3D%3D" TargetMode="External"/><Relationship Id="rId9" Type="http://schemas.openxmlformats.org/officeDocument/2006/relationships/hyperlink" Target="https://au.mouser.com/ProductDetail/Cypress-Semiconductor/FM25V02A-G?qs=sGAEpiMZZMutXGli8Ay4kEPfvY4JW7cXBqIf%2FIj4beU%3D" TargetMode="External"/><Relationship Id="rId14" Type="http://schemas.openxmlformats.org/officeDocument/2006/relationships/hyperlink" Target="https://au.mouser.com/ProductDetail/TDK/CNC5L1X7R1E106K160AE?qs=sGAEpiMZZMsh%252B1woXyUXj7hTFrnMyX90sZH81KGRCkA%3D" TargetMode="External"/><Relationship Id="rId22" Type="http://schemas.openxmlformats.org/officeDocument/2006/relationships/hyperlink" Target="https://au.mouser.com/ProductDetail/ROHM-Semiconductor/SDR03EZPD22R0?qs=sGAEpiMZZMtlubZbdhIBIK8AeiPKd8jIDpD%2FOVUe8pI%3D" TargetMode="External"/><Relationship Id="rId27" Type="http://schemas.openxmlformats.org/officeDocument/2006/relationships/hyperlink" Target="https://au.mouser.com/ProductDetail/Panasonic/ERJ-UP3D1003V?qs=sGAEpiMZZMtlubZbdhIBINZyO39%252BOXIfhATqBknuev8%3D" TargetMode="External"/><Relationship Id="rId30" Type="http://schemas.openxmlformats.org/officeDocument/2006/relationships/hyperlink" Target="https://au.mouser.com/ProductDetail/ROHM-Semiconductor/SDR03EZPD1200?qs=sGAEpiMZZMtlubZbdhIBIK8AeiPKd8jI5FiBmSccIfw%3D" TargetMode="External"/><Relationship Id="rId35" Type="http://schemas.openxmlformats.org/officeDocument/2006/relationships/hyperlink" Target="https://au.mouser.com/ProductDetail/ROHM-Semiconductor/SDR03EZPD68R0?qs=sGAEpiMZZMtlubZbdhIBIK8AeiPKd8jI3Tw4pRHIIWs%3D" TargetMode="External"/><Relationship Id="rId43" Type="http://schemas.openxmlformats.org/officeDocument/2006/relationships/hyperlink" Target="https://au.mouser.com/ProductDetail/Bel-Fuse/0ZCK0035FF2G?qs=SRYZG9HaIQ1hwWyCkUgYKw%3D%3D" TargetMode="External"/><Relationship Id="rId48" Type="http://schemas.openxmlformats.org/officeDocument/2006/relationships/hyperlink" Target="https://au.mouser.com/ProductDetail/Lite-On/LTST-C19HE1WT?qs=WAWaI72GHKxJLPArJA9%252BUw%3D%3D" TargetMode="External"/><Relationship Id="rId8" Type="http://schemas.openxmlformats.org/officeDocument/2006/relationships/hyperlink" Target="https://au.mouser.com/ProductDetail/KEMET/C0603C104K5RAC3121?qs=oBCMsStVSxe1EkGyoyETtg%3D%3D" TargetMode="External"/><Relationship Id="rId51" Type="http://schemas.openxmlformats.org/officeDocument/2006/relationships/hyperlink" Target="https://au.mouser.com/ProductDetail/Taiyo-Yuden/JMK107ABJ106KAHT?qs=UXgszm6BlbGVg%252B%252Bo5%252BNvhQ%3D%3D" TargetMode="External"/><Relationship Id="rId3" Type="http://schemas.openxmlformats.org/officeDocument/2006/relationships/hyperlink" Target="https://au.rs-online.com/web/p/pcb-headers/5468827" TargetMode="External"/><Relationship Id="rId12" Type="http://schemas.openxmlformats.org/officeDocument/2006/relationships/hyperlink" Target="https://au.mouser.com/ProductDetail/Vishay-Dale/RCP0603W1K00GEB?qs=GUgsoi%2Fpq2SZN0c%2FPXgv7w%3D%3D" TargetMode="External"/><Relationship Id="rId17" Type="http://schemas.openxmlformats.org/officeDocument/2006/relationships/hyperlink" Target="https://au.mouser.com/ProductDetail/TDK-InvenSense/ICM-20608-G?qs=u4fy%2FsgLU9NkRMtJWsPTtQ%3D%3D" TargetMode="External"/><Relationship Id="rId25" Type="http://schemas.openxmlformats.org/officeDocument/2006/relationships/hyperlink" Target="https://au.mouser.com/ProductDetail/Molex/47346-0001?qs=c2CV6XM0DweJBWaSeyWeCw%3D%3D" TargetMode="External"/><Relationship Id="rId33" Type="http://schemas.openxmlformats.org/officeDocument/2006/relationships/hyperlink" Target="https://au.mouser.com/ProductDetail/Nexperia/74LVC2G86DC125?qs=me8TqzrmIYXbZy3sMRjHUw%3D%3D" TargetMode="External"/><Relationship Id="rId38" Type="http://schemas.openxmlformats.org/officeDocument/2006/relationships/hyperlink" Target="https://au.mouser.com/ProductDetail/Bel-Fuse/0ZCJ0200FF2C?qs=SRYZG9HaIQ2c%2F4nW1aZeIg%3D%3D" TargetMode="External"/><Relationship Id="rId46" Type="http://schemas.openxmlformats.org/officeDocument/2006/relationships/hyperlink" Target="https://au.mouser.com/ProductDetail/Panasonic/ERJ-UP3F10R0V?qs=sGAEpiMZZMtlubZbdhIBINZyO39%252BOXIfP8pGmM67b0U%3D" TargetMode="External"/><Relationship Id="rId20" Type="http://schemas.openxmlformats.org/officeDocument/2006/relationships/hyperlink" Target="https://au.mouser.com/ProductDetail/Kyocera-AVX/KNH16C104DA5TS?qs=55YtniHzbhB%2FMhEmgkwYng%3D%3D" TargetMode="External"/><Relationship Id="rId41" Type="http://schemas.openxmlformats.org/officeDocument/2006/relationships/hyperlink" Target="https://au.mouser.com/ProductDetail/Kingbright/APG1608ZGCK?qs=Oo40KB9lBTmmOma0ledTcg%3D%3D" TargetMode="External"/><Relationship Id="rId54" Type="http://schemas.openxmlformats.org/officeDocument/2006/relationships/printerSettings" Target="../printerSettings/printerSettings1.bin"/><Relationship Id="rId1" Type="http://schemas.openxmlformats.org/officeDocument/2006/relationships/hyperlink" Target="https://au.mouser.com/ProductDetail/STMicroelectronics/STM32F427VIT6?qs=GlLcxsc1hfFxlQzXIfPRUw%3D%3D" TargetMode="External"/><Relationship Id="rId6" Type="http://schemas.openxmlformats.org/officeDocument/2006/relationships/hyperlink" Target="https://au.mouser.com/ProductDetail/KEMET/C0603C809C5GACAUTO?qs=u4fy%2FsgLU9N7MIfzP7pNhA%3D%3D" TargetMode="External"/><Relationship Id="rId15" Type="http://schemas.openxmlformats.org/officeDocument/2006/relationships/hyperlink" Target="https://au.mouser.com/ProductDetail/Panasonic/4TPE220MBB?qs=sGAEpiMZZMsh%252B1woXyUXj9v%2FLaJorgg0KN9ebRXfx9M%3D" TargetMode="External"/><Relationship Id="rId23" Type="http://schemas.openxmlformats.org/officeDocument/2006/relationships/hyperlink" Target="https://au.rs-online.com/web/p/pcb-headers/7521800" TargetMode="External"/><Relationship Id="rId28" Type="http://schemas.openxmlformats.org/officeDocument/2006/relationships/hyperlink" Target="https://au.mouser.com/ProductDetail/NXP-Semiconductors/TJA1051TK-3118?qs=fhAOlxDPaYVrDQ2e4g%252BBJA%3D%3D" TargetMode="External"/><Relationship Id="rId36" Type="http://schemas.openxmlformats.org/officeDocument/2006/relationships/hyperlink" Target="https://au.mouser.com/ProductDetail/Bourns/CHP0603AFX-4700ELF?qs=sGAEpiMZZMtlubZbdhIBINZyO39%252BOXIfsmxjJ95ijuY%3D" TargetMode="External"/><Relationship Id="rId49" Type="http://schemas.openxmlformats.org/officeDocument/2006/relationships/hyperlink" Target="https://au.mouser.com/ProductDetail/ROHM-Semiconductor/SDR03EZPF1000?qs=sGAEpiMZZMtlubZbdhIBIIR71ikvQRXLtdTwu3hnA7E%3D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au.mouser.com/ProductDetail/Texas-Instruments/LP5907QMFX-3.3Q1?qs=asCBFxFfL1RsL2VYqGFsBQ%3D%3D" TargetMode="External"/><Relationship Id="rId18" Type="http://schemas.openxmlformats.org/officeDocument/2006/relationships/hyperlink" Target="https://au.mouser.com/ProductDetail/Taiyo-Yuden/EMF107B7474KAHT?qs=sGAEpiMZZMsh%252B1woXyUXj30ZYomYlxpXbZmTEzBsZ7s%3D" TargetMode="External"/><Relationship Id="rId26" Type="http://schemas.openxmlformats.org/officeDocument/2006/relationships/hyperlink" Target="https://au.mouser.com/ProductDetail/KEMET/C0603X103F3GACTU?qs=ds50AKTGxA%252BILxGUD7xKPw%3D%3D" TargetMode="External"/><Relationship Id="rId39" Type="http://schemas.openxmlformats.org/officeDocument/2006/relationships/hyperlink" Target="https://au.mouser.com/ProductDetail/Kyocera-AVX/TLJA107M010R1400?qs=sGAEpiMZZMsh%252B1woXyUXj%2FySn2ICKKERp8aWU3DKthM%3D" TargetMode="External"/><Relationship Id="rId21" Type="http://schemas.openxmlformats.org/officeDocument/2006/relationships/hyperlink" Target="https://au.mouser.com/ProductDetail/onsemi/NCP163ASN180T1G?qs=vLWxofP3U2z0o2tJM%252BNAYw%3D%3D" TargetMode="External"/><Relationship Id="rId34" Type="http://schemas.openxmlformats.org/officeDocument/2006/relationships/hyperlink" Target="https://au.mouser.com/ProductDetail/Panasonic/ERA-3VEB1501V?qs=sGAEpiMZZMtlubZbdhIBIFX24rZb7BVEH%252BWfeSYccGI%3D" TargetMode="External"/><Relationship Id="rId42" Type="http://schemas.openxmlformats.org/officeDocument/2006/relationships/hyperlink" Target="https://au.mouser.com/ProductDetail/Nexperia/PMEG1030EJ115?qs=LOCUfHb8d9vmk7P%2FuYbs5A%3D%3D" TargetMode="External"/><Relationship Id="rId47" Type="http://schemas.openxmlformats.org/officeDocument/2006/relationships/hyperlink" Target="https://au.mouser.com/ProductDetail/Micro-Commercial-Components-MCC/1N4448X-TP?qs=0RDYWt4CO4fFI8HfN%2F4aEA%3D%3D" TargetMode="External"/><Relationship Id="rId50" Type="http://schemas.openxmlformats.org/officeDocument/2006/relationships/hyperlink" Target="https://au.mouser.com/ProductDetail/Diodes-Incorporated/AP7365-33WG-7?qs=abZ1nkZpTuOZFvxvoFPL0w%3D%3D" TargetMode="External"/><Relationship Id="rId7" Type="http://schemas.openxmlformats.org/officeDocument/2006/relationships/hyperlink" Target="https://au.mouser.com/ProductDetail/Taiyo-Yuden/UMR316BC7225KL-T?qs=sGAEpiMZZMsh%252B1woXyUXj30ZYomYlxpXQmjyNO27FLM%3D" TargetMode="External"/><Relationship Id="rId2" Type="http://schemas.openxmlformats.org/officeDocument/2006/relationships/hyperlink" Target="https://au.mouser.com/ProductDetail/Epson-Timing/FA-20H-24.0000MF20X-K3?qs=CANAagUtPAp2w31393daZQ%3D%3D" TargetMode="External"/><Relationship Id="rId16" Type="http://schemas.openxmlformats.org/officeDocument/2006/relationships/hyperlink" Target="https://au.mouser.com/ProductDetail/SparkFun/KIT-16987?qs=DPoM0jnrROVSyhPJFCJimg%3D%3D" TargetMode="External"/><Relationship Id="rId29" Type="http://schemas.openxmlformats.org/officeDocument/2006/relationships/hyperlink" Target="https://au.rs-online.com/web/p/pcb-headers/7521797p?cm_mmc=AU-PPC-DS3A-_-google-_-3_AU_EN_Connectors_PCB+Headers_JST_Phrase-_-JST+-+7521797P+-+SM04B-GHS-TB(LF)(SN)-_-sm04b+ghs+tb+lf+sn&amp;matchtype=p&amp;aud-828197004210:kwd-349737151659&amp;gclid=EAIaIQobChMI1ITwjq7-9wIVFBwrCh09SQ1AEAAYAiAAEgIOBfD_BwE&amp;gclsrc=aw.ds" TargetMode="External"/><Relationship Id="rId11" Type="http://schemas.openxmlformats.org/officeDocument/2006/relationships/hyperlink" Target="https://au.mouser.com/ProductDetail/Vishay-Dale/CRCW0603220RJNEAC?qs=sGAEpiMZZMtlubZbdhIBIIZe04wfiaJWuP1eVTGiDpg%3D" TargetMode="External"/><Relationship Id="rId24" Type="http://schemas.openxmlformats.org/officeDocument/2006/relationships/hyperlink" Target="https://au.mouser.com/ProductDetail/Bourns/CMP0603AFX-1004ELF?qs=sGAEpiMZZMtlubZbdhIBIIPWN1VQSu3w%252BK3x48irFUs%3D" TargetMode="External"/><Relationship Id="rId32" Type="http://schemas.openxmlformats.org/officeDocument/2006/relationships/hyperlink" Target="https://www.digikey.com.au/en/products/detail/diodes-incorporated/74LVC1G86SE-7/2330123" TargetMode="External"/><Relationship Id="rId37" Type="http://schemas.openxmlformats.org/officeDocument/2006/relationships/hyperlink" Target="https://au.mouser.com/ProductDetail/Nexperia/PMEG2020CPASX?qs=K2OaAKmNuLimeK0EUCzHKQ%3D%3D" TargetMode="External"/><Relationship Id="rId40" Type="http://schemas.openxmlformats.org/officeDocument/2006/relationships/hyperlink" Target="https://au.mouser.com/ProductDetail/ROHM-Semiconductor/BZX84B5V6LYT116?qs=QNEnbhJQKvatugwafyRm7Q%3D%3D" TargetMode="External"/><Relationship Id="rId45" Type="http://schemas.openxmlformats.org/officeDocument/2006/relationships/hyperlink" Target="https://au.mouser.com/ProductDetail/Torex-Semiconductor/XP151A12A2MR-G?qs=AsjdqWjXhJ%252BYt8dSaKx3TA%3D%3D" TargetMode="External"/><Relationship Id="rId53" Type="http://schemas.openxmlformats.org/officeDocument/2006/relationships/printerSettings" Target="../printerSettings/printerSettings2.bin"/><Relationship Id="rId5" Type="http://schemas.openxmlformats.org/officeDocument/2006/relationships/hyperlink" Target="https://au.mouser.com/ProductDetail/Vishay/CRMA1206AF10K0FKEF?qs=TiOZkKH1s2Q81nOs5FD1Wg%3D%3D" TargetMode="External"/><Relationship Id="rId10" Type="http://schemas.openxmlformats.org/officeDocument/2006/relationships/hyperlink" Target="https://au.mouser.com/ProductDetail/Comchip-Technology/CDBU70?qs=J1R1puj4KiHu6WmHr9F3%252Bw%3D%3D" TargetMode="External"/><Relationship Id="rId19" Type="http://schemas.openxmlformats.org/officeDocument/2006/relationships/hyperlink" Target="https://au.mouser.com/ProductDetail/Measurement-Specialties/MS561101BA03-50?qs=%252BgKeJhng5iV%252BnCz6Qd5iDw%3D%3D" TargetMode="External"/><Relationship Id="rId31" Type="http://schemas.openxmlformats.org/officeDocument/2006/relationships/hyperlink" Target="https://au.rs-online.com/web/p/pcb-headers/7521807p?cm_mmc=AU-PPC-DS3A-_-google-_-3_AU_EN_Connectors_PCB+Headers_JST_Phrase-_-JST+-+7521807P+-+SM05B-GHS-TB(LF)(SN)-_-sm05b+ghs+tb+lf+sn&amp;matchtype=p&amp;aud-821594433763:kwd-383463479017&amp;gclid=EAIaIQobChMI7JqB-rP-9wIVtZNmAh2j4w0kEAAYAyAAEgJjvvD_BwE&amp;gclsrc=aw.ds" TargetMode="External"/><Relationship Id="rId44" Type="http://schemas.openxmlformats.org/officeDocument/2006/relationships/hyperlink" Target="https://au.mouser.com/ProductDetail/Bel-Fuse/0ZCJ0100FF2E?qs=SRYZG9HaIQ16trCtSE8WyA%3D%3D" TargetMode="External"/><Relationship Id="rId52" Type="http://schemas.openxmlformats.org/officeDocument/2006/relationships/hyperlink" Target="https://au.mouser.com/ProductDetail/Infineon-Technologies/BSS209PW-H6327?qs=l6ZoeTYLMwPiE0APXKbLcQ%3D%3D" TargetMode="External"/><Relationship Id="rId4" Type="http://schemas.openxmlformats.org/officeDocument/2006/relationships/hyperlink" Target="https://au.mouser.com/ProductDetail/Microchip-Technology/MCP131T-300E-TT?qs=oKK8NaWdAJuugCcbQvjtFw%3D%3D" TargetMode="External"/><Relationship Id="rId9" Type="http://schemas.openxmlformats.org/officeDocument/2006/relationships/hyperlink" Target="https://au.mouser.com/ProductDetail/Cypress-Semiconductor/FM25V02A-GTR?qs=sGAEpiMZZMutXGli8Ay4kMCKEe2buTysaZrB7nDY4Ds%3D" TargetMode="External"/><Relationship Id="rId14" Type="http://schemas.openxmlformats.org/officeDocument/2006/relationships/hyperlink" Target="https://au.mouser.com/ProductDetail/TDK/CNC5L1X7R1E106K160AE?qs=sGAEpiMZZMsh%252B1woXyUXj7hTFrnMyX90sZH81KGRCkA%3D" TargetMode="External"/><Relationship Id="rId22" Type="http://schemas.openxmlformats.org/officeDocument/2006/relationships/hyperlink" Target="https://au.mouser.com/ProductDetail/ROHM-Semiconductor/SDR03EZPD22R0?qs=sGAEpiMZZMtlubZbdhIBIK8AeiPKd8jIDpD%2FOVUe8pI%3D" TargetMode="External"/><Relationship Id="rId27" Type="http://schemas.openxmlformats.org/officeDocument/2006/relationships/hyperlink" Target="https://au.mouser.com/ProductDetail/Panasonic/ERJ-UP3D1003V?qs=sGAEpiMZZMtlubZbdhIBINZyO39%252BOXIfhATqBknuev8%3D" TargetMode="External"/><Relationship Id="rId30" Type="http://schemas.openxmlformats.org/officeDocument/2006/relationships/hyperlink" Target="https://au.mouser.com/ProductDetail/ROHM-Semiconductor/SDR03EZPD1200?qs=sGAEpiMZZMtlubZbdhIBIK8AeiPKd8jI5FiBmSccIfw%3D" TargetMode="External"/><Relationship Id="rId35" Type="http://schemas.openxmlformats.org/officeDocument/2006/relationships/hyperlink" Target="https://au.mouser.com/ProductDetail/ROHM-Semiconductor/SDR03EZPD68R0?qs=sGAEpiMZZMtlubZbdhIBIK8AeiPKd8jI3Tw4pRHIIWs%3D" TargetMode="External"/><Relationship Id="rId43" Type="http://schemas.openxmlformats.org/officeDocument/2006/relationships/hyperlink" Target="https://au.mouser.com/ProductDetail/Bel-Fuse/0ZCK0035FF2G?qs=SRYZG9HaIQ1hwWyCkUgYKw%3D%3D" TargetMode="External"/><Relationship Id="rId48" Type="http://schemas.openxmlformats.org/officeDocument/2006/relationships/hyperlink" Target="https://au.mouser.com/ProductDetail/Lite-On/LTST-C19HE1WT?qs=WAWaI72GHKxJLPArJA9%252BUw%3D%3D" TargetMode="External"/><Relationship Id="rId8" Type="http://schemas.openxmlformats.org/officeDocument/2006/relationships/hyperlink" Target="https://au.mouser.com/ProductDetail/KEMET/C0603C104K5RAC3121?qs=oBCMsStVSxe1EkGyoyETtg%3D%3D" TargetMode="External"/><Relationship Id="rId51" Type="http://schemas.openxmlformats.org/officeDocument/2006/relationships/hyperlink" Target="https://au.mouser.com/ProductDetail/Taiyo-Yuden/JMK107ABJ106KAHT?qs=UXgszm6BlbGVg%252B%252Bo5%252BNvhQ%3D%3D" TargetMode="External"/><Relationship Id="rId3" Type="http://schemas.openxmlformats.org/officeDocument/2006/relationships/hyperlink" Target="https://au.rs-online.com/web/p/pcb-headers/5468827" TargetMode="External"/><Relationship Id="rId12" Type="http://schemas.openxmlformats.org/officeDocument/2006/relationships/hyperlink" Target="https://au.mouser.com/ProductDetail/Vishay-Dale/RCP0603W1K00GEB?qs=GUgsoi%2Fpq2SZN0c%2FPXgv7w%3D%3D" TargetMode="External"/><Relationship Id="rId17" Type="http://schemas.openxmlformats.org/officeDocument/2006/relationships/hyperlink" Target="https://au.mouser.com/ProductDetail/TDK-InvenSense/EV_ICM-20602?qs=u4fy%2FsgLU9PDvlLfBx4paA%3D%3D" TargetMode="External"/><Relationship Id="rId25" Type="http://schemas.openxmlformats.org/officeDocument/2006/relationships/hyperlink" Target="https://au.mouser.com/ProductDetail/Molex/47346-0001?qs=c2CV6XM0DweJBWaSeyWeCw%3D%3D" TargetMode="External"/><Relationship Id="rId33" Type="http://schemas.openxmlformats.org/officeDocument/2006/relationships/hyperlink" Target="https://au.mouser.com/ProductDetail/Nexperia/74LVC2G86DC125?qs=me8TqzrmIYXbZy3sMRjHUw%3D%3D" TargetMode="External"/><Relationship Id="rId38" Type="http://schemas.openxmlformats.org/officeDocument/2006/relationships/hyperlink" Target="https://au.mouser.com/ProductDetail/Bel-Fuse/0ZCJ0200FF2C?qs=SRYZG9HaIQ2c%2F4nW1aZeIg%3D%3D" TargetMode="External"/><Relationship Id="rId46" Type="http://schemas.openxmlformats.org/officeDocument/2006/relationships/hyperlink" Target="https://au.mouser.com/ProductDetail/Panasonic/ERJ-UP3F10R0V?qs=sGAEpiMZZMtlubZbdhIBINZyO39%252BOXIfP8pGmM67b0U%3D" TargetMode="External"/><Relationship Id="rId20" Type="http://schemas.openxmlformats.org/officeDocument/2006/relationships/hyperlink" Target="https://au.mouser.com/ProductDetail/Kyocera-AVX/W2H13C1048AT1F?qs=yRKuMHbOG1onjNKOzcED5w%3D%3D" TargetMode="External"/><Relationship Id="rId41" Type="http://schemas.openxmlformats.org/officeDocument/2006/relationships/hyperlink" Target="https://au.mouser.com/ProductDetail/Kingbright/APG1608ZGCK?qs=Oo40KB9lBTmmOma0ledTcg%3D%3D" TargetMode="External"/><Relationship Id="rId1" Type="http://schemas.openxmlformats.org/officeDocument/2006/relationships/hyperlink" Target="https://au.mouser.com/ProductDetail/STMicroelectronics/STM32F427VIT6?qs=GlLcxsc1hfFxlQzXIfPRUw%3D%3D" TargetMode="External"/><Relationship Id="rId6" Type="http://schemas.openxmlformats.org/officeDocument/2006/relationships/hyperlink" Target="https://au.mouser.com/ProductDetail/KEMET/C0603C809C5GACAUTO?qs=u4fy%2FsgLU9N7MIfzP7pNhA%3D%3D" TargetMode="External"/><Relationship Id="rId15" Type="http://schemas.openxmlformats.org/officeDocument/2006/relationships/hyperlink" Target="https://au.mouser.com/ProductDetail/Panasonic/4TPE220MBB?qs=sGAEpiMZZMsh%252B1woXyUXj9v%2FLaJorgg0KN9ebRXfx9M%3D" TargetMode="External"/><Relationship Id="rId23" Type="http://schemas.openxmlformats.org/officeDocument/2006/relationships/hyperlink" Target="https://au.rs-online.com/web/p/pcb-headers/7521800" TargetMode="External"/><Relationship Id="rId28" Type="http://schemas.openxmlformats.org/officeDocument/2006/relationships/hyperlink" Target="https://au.mouser.com/ProductDetail/NXP-Semiconductors/TJA1051TK-3118?qs=fhAOlxDPaYVrDQ2e4g%252BBJA%3D%3D" TargetMode="External"/><Relationship Id="rId36" Type="http://schemas.openxmlformats.org/officeDocument/2006/relationships/hyperlink" Target="https://au.mouser.com/ProductDetail/Bourns/CHP0603AFX-4700ELF?qs=sGAEpiMZZMtlubZbdhIBINZyO39%252BOXIfsmxjJ95ijuY%3D" TargetMode="External"/><Relationship Id="rId49" Type="http://schemas.openxmlformats.org/officeDocument/2006/relationships/hyperlink" Target="https://au.mouser.com/ProductDetail/ROHM-Semiconductor/SDR03EZPF1000?qs=sGAEpiMZZMtlubZbdhIBIIR71ikvQRXLtdTwu3hnA7E%3D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au.mouser.com/ProductDetail/Texas-Instruments/LP5907QMFX-3.3Q1?qs=asCBFxFfL1RsL2VYqGFsBQ%3D%3D" TargetMode="External"/><Relationship Id="rId18" Type="http://schemas.openxmlformats.org/officeDocument/2006/relationships/hyperlink" Target="https://au.mouser.com/ProductDetail/Taiyo-Yuden/EMF107B7474KAHT?qs=sGAEpiMZZMsh%252B1woXyUXj30ZYomYlxpXbZmTEzBsZ7s%3D" TargetMode="External"/><Relationship Id="rId26" Type="http://schemas.openxmlformats.org/officeDocument/2006/relationships/hyperlink" Target="https://au.mouser.com/ProductDetail/Murata-Electronics/GCM188R71H103KA37J?qs=N3Kl9KD794T3%2FxlXdF0Axg%3D%3D" TargetMode="External"/><Relationship Id="rId39" Type="http://schemas.openxmlformats.org/officeDocument/2006/relationships/hyperlink" Target="https://au.mouser.com/ProductDetail/Murata-Electronics/GRM31CR61A107MEA8K?qs=hd1VzrDQEGiKPwOlEhCnYw%3D%3D" TargetMode="External"/><Relationship Id="rId21" Type="http://schemas.openxmlformats.org/officeDocument/2006/relationships/hyperlink" Target="https://au.mouser.com/ProductDetail/onsemi/NCP163ASN180T1G?qs=vLWxofP3U2z0o2tJM%252BNAYw%3D%3D" TargetMode="External"/><Relationship Id="rId34" Type="http://schemas.openxmlformats.org/officeDocument/2006/relationships/hyperlink" Target="https://au.mouser.com/ProductDetail/Panasonic/ERA-3VEB1501V?qs=sGAEpiMZZMtlubZbdhIBIFX24rZb7BVEH%252BWfeSYccGI%3D" TargetMode="External"/><Relationship Id="rId42" Type="http://schemas.openxmlformats.org/officeDocument/2006/relationships/hyperlink" Target="https://au.mouser.com/ProductDetail/Nexperia/PMEG1030EJ115?qs=LOCUfHb8d9vmk7P%2FuYbs5A%3D%3D" TargetMode="External"/><Relationship Id="rId47" Type="http://schemas.openxmlformats.org/officeDocument/2006/relationships/hyperlink" Target="https://au.mouser.com/ProductDetail/Micro-Commercial-Components-MCC/1N4448X-TP?qs=0RDYWt4CO4fFI8HfN%2F4aEA%3D%3D" TargetMode="External"/><Relationship Id="rId50" Type="http://schemas.openxmlformats.org/officeDocument/2006/relationships/hyperlink" Target="https://au.mouser.com/ProductDetail/Diodes-Incorporated/AP7365-33WG-7?qs=abZ1nkZpTuOZFvxvoFPL0w%3D%3D" TargetMode="External"/><Relationship Id="rId55" Type="http://schemas.openxmlformats.org/officeDocument/2006/relationships/hyperlink" Target="https://au.mouser.com/ProductDetail/Harwin/M50-3100545?qs=Jph8NoUxIfUarVN5NMn2Ag%3D%3D" TargetMode="External"/><Relationship Id="rId7" Type="http://schemas.openxmlformats.org/officeDocument/2006/relationships/hyperlink" Target="https://au.mouser.com/ProductDetail/TDK/C1608X7S1C225K080AE?qs=sGAEpiMZZMsh%252B1woXyUXj4o8uGOj6yOa%2F2JNARaH%252BUU%3D" TargetMode="External"/><Relationship Id="rId2" Type="http://schemas.openxmlformats.org/officeDocument/2006/relationships/hyperlink" Target="https://au.mouser.com/ProductDetail/Epson-Timing/FA-20H-24.0000MF20X-K3?qs=CANAagUtPAp2w31393daZQ%3D%3D" TargetMode="External"/><Relationship Id="rId16" Type="http://schemas.openxmlformats.org/officeDocument/2006/relationships/hyperlink" Target="https://au.mouser.com/ProductDetail/SparkFun/KIT-16987?qs=DPoM0jnrROVSyhPJFCJimg%3D%3D" TargetMode="External"/><Relationship Id="rId29" Type="http://schemas.openxmlformats.org/officeDocument/2006/relationships/hyperlink" Target="https://au.rs-online.com/web/p/pcb-headers/7521797p?cm_mmc=AU-PPC-DS3A-_-google-_-3_AU_EN_Connectors_PCB+Headers_JST_Phrase-_-JST+-+7521797P+-+SM04B-GHS-TB(LF)(SN)-_-sm04b+ghs+tb+lf+sn&amp;matchtype=p&amp;aud-828197004210:kwd-349737151659&amp;gclid=EAIaIQobChMI1ITwjq7-9wIVFBwrCh09SQ1AEAAYAiAAEgIOBfD_BwE&amp;gclsrc=aw.ds" TargetMode="External"/><Relationship Id="rId11" Type="http://schemas.openxmlformats.org/officeDocument/2006/relationships/hyperlink" Target="https://au.mouser.com/ProductDetail/Vishay-Dale/CRCW0603220RJNEAC?qs=sGAEpiMZZMtlubZbdhIBIIZe04wfiaJWuP1eVTGiDpg%3D" TargetMode="External"/><Relationship Id="rId24" Type="http://schemas.openxmlformats.org/officeDocument/2006/relationships/hyperlink" Target="https://au.mouser.com/ProductDetail/Bourns/CMP0603AFX-1004ELF?qs=sGAEpiMZZMtlubZbdhIBIIPWN1VQSu3w%252BK3x48irFUs%3D" TargetMode="External"/><Relationship Id="rId32" Type="http://schemas.openxmlformats.org/officeDocument/2006/relationships/hyperlink" Target="https://www.digikey.com.au/en/products/detail/diodes-incorporated/74LVC1G86SE-7/2330123" TargetMode="External"/><Relationship Id="rId37" Type="http://schemas.openxmlformats.org/officeDocument/2006/relationships/hyperlink" Target="https://au.mouser.com/ProductDetail/Nexperia/PMEG2020CPASX?qs=K2OaAKmNuLimeK0EUCzHKQ%3D%3D" TargetMode="External"/><Relationship Id="rId40" Type="http://schemas.openxmlformats.org/officeDocument/2006/relationships/hyperlink" Target="https://au.mouser.com/ProductDetail/onsemi/MMSZ5232BT1G?qs=P4IOph%252Bbot%2FernOvVDK3Ig%3D%3D" TargetMode="External"/><Relationship Id="rId45" Type="http://schemas.openxmlformats.org/officeDocument/2006/relationships/hyperlink" Target="https://au.mouser.com/ProductDetail/Torex-Semiconductor/XP151A12A2MR-G?qs=AsjdqWjXhJ%252BYt8dSaKx3TA%3D%3D" TargetMode="External"/><Relationship Id="rId53" Type="http://schemas.openxmlformats.org/officeDocument/2006/relationships/hyperlink" Target="https://au.mouser.com/ProductDetail/STMicroelectronics/LIS3MDLTR?qs=hnsWAVXnr6EbLE48dGN9Pg%3D%3D" TargetMode="External"/><Relationship Id="rId5" Type="http://schemas.openxmlformats.org/officeDocument/2006/relationships/hyperlink" Target="https://au.mouser.com/ProductDetail/Bourns/CMP0603-FX-1002ELF?qs=sGAEpiMZZMtlubZbdhIBIIPWN1VQSu3wvtn3yYqkWIE%3D" TargetMode="External"/><Relationship Id="rId19" Type="http://schemas.openxmlformats.org/officeDocument/2006/relationships/hyperlink" Target="https://au.mouser.com/ProductDetail/Measurement-Specialties/MS561101BA03-50?qs=%252BgKeJhng5iV%252BnCz6Qd5iDw%3D%3D" TargetMode="External"/><Relationship Id="rId4" Type="http://schemas.openxmlformats.org/officeDocument/2006/relationships/hyperlink" Target="https://au.mouser.com/ProductDetail/Microchip-Technology/MCP131T-300E-TT?qs=oKK8NaWdAJuugCcbQvjtFw%3D%3D" TargetMode="External"/><Relationship Id="rId9" Type="http://schemas.openxmlformats.org/officeDocument/2006/relationships/hyperlink" Target="https://au.mouser.com/ProductDetail/Cypress-Semiconductor/FM25V02A-GTR?qs=sGAEpiMZZMutXGli8Ay4kMCKEe2buTysaZrB7nDY4Ds%3D" TargetMode="External"/><Relationship Id="rId14" Type="http://schemas.openxmlformats.org/officeDocument/2006/relationships/hyperlink" Target="https://au.mouser.com/ProductDetail/TDK/CGA3E3X7T0G106M080AB?qs=sGAEpiMZZMsh%252B1woXyUXjzCAKOm63x3oUafVoeFPjqg%3D" TargetMode="External"/><Relationship Id="rId22" Type="http://schemas.openxmlformats.org/officeDocument/2006/relationships/hyperlink" Target="https://au.mouser.com/ProductDetail/ROHM-Semiconductor/SDR03EZPD22R0?qs=sGAEpiMZZMtlubZbdhIBIK8AeiPKd8jIDpD%2FOVUe8pI%3D" TargetMode="External"/><Relationship Id="rId27" Type="http://schemas.openxmlformats.org/officeDocument/2006/relationships/hyperlink" Target="https://au.mouser.com/ProductDetail/Panasonic/ERJ-UP3D1003V?qs=sGAEpiMZZMtlubZbdhIBINZyO39%252BOXIfhATqBknuev8%3D" TargetMode="External"/><Relationship Id="rId30" Type="http://schemas.openxmlformats.org/officeDocument/2006/relationships/hyperlink" Target="https://au.mouser.com/ProductDetail/ROHM-Semiconductor/SDR03EZPD1200?qs=sGAEpiMZZMtlubZbdhIBIK8AeiPKd8jI5FiBmSccIfw%3D" TargetMode="External"/><Relationship Id="rId35" Type="http://schemas.openxmlformats.org/officeDocument/2006/relationships/hyperlink" Target="https://au.mouser.com/ProductDetail/ROHM-Semiconductor/SDR03EZPD68R0?qs=sGAEpiMZZMtlubZbdhIBIK8AeiPKd8jI3Tw4pRHIIWs%3D" TargetMode="External"/><Relationship Id="rId43" Type="http://schemas.openxmlformats.org/officeDocument/2006/relationships/hyperlink" Target="https://au.mouser.com/ProductDetail/Bel-Fuse/0ZCK0035FF2G?qs=SRYZG9HaIQ1hwWyCkUgYKw%3D%3D" TargetMode="External"/><Relationship Id="rId48" Type="http://schemas.openxmlformats.org/officeDocument/2006/relationships/hyperlink" Target="https://au.mouser.com/ProductDetail/Lite-On/LTST-C19HE1WT?qs=WAWaI72GHKxJLPArJA9%252BUw%3D%3D" TargetMode="External"/><Relationship Id="rId56" Type="http://schemas.openxmlformats.org/officeDocument/2006/relationships/hyperlink" Target="https://au.mouser.com/ProductDetail/Samtec/TSW-106-08-F-T-RA?qs=%252BZP6%2F%252BtExtAMBmbTUZgOoQ%3D%3D" TargetMode="External"/><Relationship Id="rId8" Type="http://schemas.openxmlformats.org/officeDocument/2006/relationships/hyperlink" Target="https://au.mouser.com/ProductDetail/KEMET/C0603C104K5RAC3121?qs=oBCMsStVSxe1EkGyoyETtg%3D%3D" TargetMode="External"/><Relationship Id="rId51" Type="http://schemas.openxmlformats.org/officeDocument/2006/relationships/hyperlink" Target="https://au.mouser.com/ProductDetail/Taiyo-Yuden/JMK107ABJ106KAHT?qs=UXgszm6BlbGVg%252B%252Bo5%252BNvhQ%3D%3D" TargetMode="External"/><Relationship Id="rId3" Type="http://schemas.openxmlformats.org/officeDocument/2006/relationships/hyperlink" Target="https://au.rs-online.com/web/p/pcb-headers/5468827" TargetMode="External"/><Relationship Id="rId12" Type="http://schemas.openxmlformats.org/officeDocument/2006/relationships/hyperlink" Target="https://au.mouser.com/ProductDetail/Vishay-Dale/RCC06031K00FKEA?qs=sGAEpiMZZMtlubZbdhIBINZyO39%252BOXIfPVP5mE%2FLgUo%3D" TargetMode="External"/><Relationship Id="rId17" Type="http://schemas.openxmlformats.org/officeDocument/2006/relationships/hyperlink" Target="https://au.mouser.com/ProductDetail/TDK-InvenSense/EV_ICM-20602?qs=u4fy%2FsgLU9PDvlLfBx4paA%3D%3D" TargetMode="External"/><Relationship Id="rId25" Type="http://schemas.openxmlformats.org/officeDocument/2006/relationships/hyperlink" Target="https://au.mouser.com/ProductDetail/Molex/47346-0001?qs=c2CV6XM0DweJBWaSeyWeCw%3D%3D" TargetMode="External"/><Relationship Id="rId33" Type="http://schemas.openxmlformats.org/officeDocument/2006/relationships/hyperlink" Target="https://au.mouser.com/ProductDetail/Nexperia/74LVC2G86DC125?qs=me8TqzrmIYXbZy3sMRjHUw%3D%3D" TargetMode="External"/><Relationship Id="rId38" Type="http://schemas.openxmlformats.org/officeDocument/2006/relationships/hyperlink" Target="https://au.mouser.com/ProductDetail/Bel-Fuse/0ZCJ0200FF2C?qs=SRYZG9HaIQ2c%2F4nW1aZeIg%3D%3D" TargetMode="External"/><Relationship Id="rId46" Type="http://schemas.openxmlformats.org/officeDocument/2006/relationships/hyperlink" Target="https://au.mouser.com/ProductDetail/Panasonic/ERJ-UP3F10R0V?qs=sGAEpiMZZMtlubZbdhIBINZyO39%252BOXIfP8pGmM67b0U%3D" TargetMode="External"/><Relationship Id="rId20" Type="http://schemas.openxmlformats.org/officeDocument/2006/relationships/hyperlink" Target="https://au.mouser.com/ProductDetail/Kyocera-AVX/W2H13C1048AT1F?qs=yRKuMHbOG1onjNKOzcED5w%3D%3D" TargetMode="External"/><Relationship Id="rId41" Type="http://schemas.openxmlformats.org/officeDocument/2006/relationships/hyperlink" Target="https://au.mouser.com/ProductDetail/Kingbright/APG1608ZGCK?qs=Oo40KB9lBTmmOma0ledTcg%3D%3D" TargetMode="External"/><Relationship Id="rId54" Type="http://schemas.openxmlformats.org/officeDocument/2006/relationships/hyperlink" Target="https://au.mouser.com/ProductDetail/Yamaichi-Electronics/PJS008-2120-0?qs=pDnM3xHIg41mTHT1wk7bvQ%3D%3D" TargetMode="External"/><Relationship Id="rId1" Type="http://schemas.openxmlformats.org/officeDocument/2006/relationships/hyperlink" Target="https://au.mouser.com/ProductDetail/STMicroelectronics/STM32F427VIT6?qs=GlLcxsc1hfFxlQzXIfPRUw%3D%3D" TargetMode="External"/><Relationship Id="rId6" Type="http://schemas.openxmlformats.org/officeDocument/2006/relationships/hyperlink" Target="https://au.mouser.com/ProductDetail/KEMET/C0603C809C5GACAUTO?qs=u4fy%2FsgLU9N7MIfzP7pNhA%3D%3D" TargetMode="External"/><Relationship Id="rId15" Type="http://schemas.openxmlformats.org/officeDocument/2006/relationships/hyperlink" Target="https://au.mouser.com/ProductDetail/Murata-Electronics/GRM31CC80G227ME11L?qs=sGAEpiMZZMsh%252B1woXyUXj%2FxCjkItOqpdtJ17yM6JR6A%3D" TargetMode="External"/><Relationship Id="rId23" Type="http://schemas.openxmlformats.org/officeDocument/2006/relationships/hyperlink" Target="https://au.rs-online.com/web/p/pcb-headers/7521800" TargetMode="External"/><Relationship Id="rId28" Type="http://schemas.openxmlformats.org/officeDocument/2006/relationships/hyperlink" Target="https://au.mouser.com/ProductDetail/NXP-Semiconductors/TJA1051TK-3118?qs=fhAOlxDPaYVrDQ2e4g%252BBJA%3D%3D" TargetMode="External"/><Relationship Id="rId36" Type="http://schemas.openxmlformats.org/officeDocument/2006/relationships/hyperlink" Target="https://au.mouser.com/ProductDetail/Bourns/CHP0603AFX-4700ELF?qs=sGAEpiMZZMtlubZbdhIBINZyO39%252BOXIfsmxjJ95ijuY%3D" TargetMode="External"/><Relationship Id="rId49" Type="http://schemas.openxmlformats.org/officeDocument/2006/relationships/hyperlink" Target="https://au.mouser.com/ProductDetail/ROHM-Semiconductor/SDR03EZPF1000?qs=sGAEpiMZZMtlubZbdhIBIIR71ikvQRXLtdTwu3hnA7E%3D" TargetMode="External"/><Relationship Id="rId57" Type="http://schemas.openxmlformats.org/officeDocument/2006/relationships/printerSettings" Target="../printerSettings/printerSettings3.bin"/><Relationship Id="rId10" Type="http://schemas.openxmlformats.org/officeDocument/2006/relationships/hyperlink" Target="https://au.mouser.com/ProductDetail/Comchip-Technology/CDBU70?qs=J1R1puj4KiHu6WmHr9F3%252Bw%3D%3D" TargetMode="External"/><Relationship Id="rId31" Type="http://schemas.openxmlformats.org/officeDocument/2006/relationships/hyperlink" Target="https://au.rs-online.com/web/p/pcb-headers/7521807p?cm_mmc=AU-PPC-DS3A-_-google-_-3_AU_EN_Connectors_PCB+Headers_JST_Phrase-_-JST+-+7521807P+-+SM05B-GHS-TB(LF)(SN)-_-sm05b+ghs+tb+lf+sn&amp;matchtype=p&amp;aud-821594433763:kwd-383463479017&amp;gclid=EAIaIQobChMI7JqB-rP-9wIVtZNmAh2j4w0kEAAYAyAAEgJjvvD_BwE&amp;gclsrc=aw.ds" TargetMode="External"/><Relationship Id="rId44" Type="http://schemas.openxmlformats.org/officeDocument/2006/relationships/hyperlink" Target="https://au.mouser.com/ProductDetail/Bel-Fuse/0ZCJ0100FF2E?qs=SRYZG9HaIQ16trCtSE8WyA%3D%3D" TargetMode="External"/><Relationship Id="rId52" Type="http://schemas.openxmlformats.org/officeDocument/2006/relationships/hyperlink" Target="https://au.mouser.com/ProductDetail/Infineon-Technologies/BSS209PW-H6327?qs=l6ZoeTYLMwPiE0APXKbLcQ%3D%3D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win-source.net/tdk-invensense-icm-20948.html" TargetMode="External"/><Relationship Id="rId18" Type="http://schemas.openxmlformats.org/officeDocument/2006/relationships/hyperlink" Target="https://au.mouser.com/ProductDetail/onsemi/NCP163ASN180T1G?qs=vLWxofP3U2z0o2tJM%252BNAYw%3D%3D" TargetMode="External"/><Relationship Id="rId26" Type="http://schemas.openxmlformats.org/officeDocument/2006/relationships/hyperlink" Target="https://au.rs-online.com/web/p/pcb-headers/7521797p?cm_mmc=AU-PPC-DS3A-_-google-_-3_AU_EN_Connectors_PCB+Headers_JST_Phrase-_-JST+-+7521797P+-+SM04B-GHS-TB(LF)(SN)-_-sm04b+ghs+tb+lf+sn&amp;matchtype=p&amp;aud-828197004210:kwd-349737151659&amp;gclid=EAIaIQobChMI1ITwjq7-9wIVFBwrCh09SQ1AEAAYAiAAEgIOBfD_BwE&amp;gclsrc=aw.ds" TargetMode="External"/><Relationship Id="rId39" Type="http://schemas.openxmlformats.org/officeDocument/2006/relationships/hyperlink" Target="https://au.mouser.com/ProductDetail/Nexperia/PMEG1030EJ115?qs=LOCUfHb8d9vmk7P%2FuYbs5A%3D%3D" TargetMode="External"/><Relationship Id="rId21" Type="http://schemas.openxmlformats.org/officeDocument/2006/relationships/hyperlink" Target="https://au.mouser.com/ProductDetail/Bourns/CMP0603AFX-1004ELF?qs=sGAEpiMZZMtlubZbdhIBIIPWN1VQSu3w%252BK3x48irFUs%3D" TargetMode="External"/><Relationship Id="rId34" Type="http://schemas.openxmlformats.org/officeDocument/2006/relationships/hyperlink" Target="https://au.mouser.com/ProductDetail/Nexperia/PMEG2020CPASX?qs=K2OaAKmNuLimeK0EUCzHKQ%3D%3D" TargetMode="External"/><Relationship Id="rId42" Type="http://schemas.openxmlformats.org/officeDocument/2006/relationships/hyperlink" Target="https://au.mouser.com/ProductDetail/Torex-Semiconductor/XP151A12A2MR-G?qs=AsjdqWjXhJ%252BYt8dSaKx3TA%3D%3D" TargetMode="External"/><Relationship Id="rId47" Type="http://schemas.openxmlformats.org/officeDocument/2006/relationships/hyperlink" Target="https://my.rs-online.com/web/p/voltage-regulators/9210619" TargetMode="External"/><Relationship Id="rId50" Type="http://schemas.openxmlformats.org/officeDocument/2006/relationships/hyperlink" Target="https://au.mouser.com/ProductDetail/STMicroelectronics/LIS3MDLTR?qs=hnsWAVXnr6EbLE48dGN9Pg%3D%3D" TargetMode="External"/><Relationship Id="rId55" Type="http://schemas.openxmlformats.org/officeDocument/2006/relationships/hyperlink" Target="https://www.digikey.com.au/en/products/detail/tdk-invensense/ICM-20608-G/5177387?utm_adgroup=General&amp;utm_source=google&amp;utm_medium=cpc&amp;utm_campaign=PMax%20Shopping_Product_Zombie%20SKUS&amp;utm_term=&amp;productid=5177387&amp;utm_id=go_cmp-17853854068_adg-_ad-__dev-c_ext-_prd-5177387_sig-EAIaIQobChMInuXgnPCr-QIV0oJLBR2cawKjEAQYAiABEgIJfPD_BwE&amp;gclid=EAIaIQobChMInuXgnPCr-QIV0oJLBR2cawKjEAQYAiABEgIJfPD_BwE" TargetMode="External"/><Relationship Id="rId7" Type="http://schemas.openxmlformats.org/officeDocument/2006/relationships/hyperlink" Target="https://au.mouser.com/ProductDetail/Comchip-Technology/CDBU70?qs=J1R1puj4KiHu6WmHr9F3%252Bw%3D%3D" TargetMode="External"/><Relationship Id="rId2" Type="http://schemas.openxmlformats.org/officeDocument/2006/relationships/hyperlink" Target="https://au.mouser.com/ProductDetail/Microchip-Technology/MCP131T-300E-TT?qs=oKK8NaWdAJuugCcbQvjtFw%3D%3D" TargetMode="External"/><Relationship Id="rId16" Type="http://schemas.openxmlformats.org/officeDocument/2006/relationships/hyperlink" Target="https://au.mouser.com/ProductDetail/Measurement-Specialties/MS561101BA03-50?qs=%252BgKeJhng5iV%252BnCz6Qd5iDw%3D%3D" TargetMode="External"/><Relationship Id="rId29" Type="http://schemas.openxmlformats.org/officeDocument/2006/relationships/hyperlink" Target="https://au.mouser.com/ProductDetail/Diodes-Incorporated/74LVC1G86SE-7?qs=8Dv1RiiPiVJ%252BnYSWg3kTgg%3D%3D" TargetMode="External"/><Relationship Id="rId11" Type="http://schemas.openxmlformats.org/officeDocument/2006/relationships/hyperlink" Target="https://au.mouser.com/ProductDetail/TDK/CGA3E3X7T0G106M080AB?qs=sGAEpiMZZMsh%252B1woXyUXjzCAKOm63x3oUafVoeFPjqg%3D" TargetMode="External"/><Relationship Id="rId24" Type="http://schemas.openxmlformats.org/officeDocument/2006/relationships/hyperlink" Target="https://au.mouser.com/ProductDetail/Panasonic/ERJ-UP3D1003V?qs=sGAEpiMZZMtlubZbdhIBINZyO39%252BOXIfhATqBknuev8%3D" TargetMode="External"/><Relationship Id="rId32" Type="http://schemas.openxmlformats.org/officeDocument/2006/relationships/hyperlink" Target="https://au.mouser.com/ProductDetail/ROHM-Semiconductor/SDR03EZPD68R0?qs=sGAEpiMZZMtlubZbdhIBIK8AeiPKd8jI3Tw4pRHIIWs%3D" TargetMode="External"/><Relationship Id="rId37" Type="http://schemas.openxmlformats.org/officeDocument/2006/relationships/hyperlink" Target="https://au.mouser.com/ProductDetail/onsemi/MMSZ5232BT1G?qs=P4IOph%252Bbot%2FernOvVDK3Ig%3D%3D" TargetMode="External"/><Relationship Id="rId40" Type="http://schemas.openxmlformats.org/officeDocument/2006/relationships/hyperlink" Target="https://au.mouser.com/ProductDetail/Bel-Fuse/0ZCK0035FF2G?qs=SRYZG9HaIQ1hwWyCkUgYKw%3D%3D" TargetMode="External"/><Relationship Id="rId45" Type="http://schemas.openxmlformats.org/officeDocument/2006/relationships/hyperlink" Target="https://au.mouser.com/ProductDetail/Lite-On/LTST-C19HE1WT?qs=WAWaI72GHKxJLPArJA9%252BUw%3D%3D" TargetMode="External"/><Relationship Id="rId53" Type="http://schemas.openxmlformats.org/officeDocument/2006/relationships/hyperlink" Target="https://au.mouser.com/ProductDetail/Samtec/TSW-106-08-F-T-RA?qs=%252BZP6%2F%252BtExtAMBmbTUZgOoQ%3D%3D" TargetMode="External"/><Relationship Id="rId58" Type="http://schemas.openxmlformats.org/officeDocument/2006/relationships/hyperlink" Target="https://au.mouser.com/ProductDetail/Murata-Electronics/GRM31CR61A107ME05L?qs=chTDxNqvsylSo93CzdbYkQ%3D%3D" TargetMode="External"/><Relationship Id="rId5" Type="http://schemas.openxmlformats.org/officeDocument/2006/relationships/hyperlink" Target="https://au.mouser.com/ProductDetail/TDK/C1608X7S1C225K080AE?qs=sGAEpiMZZMsh%252B1woXyUXj4o8uGOj6yOa%2F2JNARaH%252BUU%3D" TargetMode="External"/><Relationship Id="rId19" Type="http://schemas.openxmlformats.org/officeDocument/2006/relationships/hyperlink" Target="https://au.mouser.com/ProductDetail/ROHM-Semiconductor/SDR03EZPD22R0?qs=sGAEpiMZZMtlubZbdhIBIK8AeiPKd8jIDpD%2FOVUe8pI%3D" TargetMode="External"/><Relationship Id="rId4" Type="http://schemas.openxmlformats.org/officeDocument/2006/relationships/hyperlink" Target="https://au.mouser.com/ProductDetail/KEMET/C0603C809C5GACAUTO?qs=u4fy%2FsgLU9N7MIfzP7pNhA%3D%3D" TargetMode="External"/><Relationship Id="rId9" Type="http://schemas.openxmlformats.org/officeDocument/2006/relationships/hyperlink" Target="https://au.mouser.com/ProductDetail/Vishay-Dale/RCC06031K00FKEA?qs=sGAEpiMZZMtlubZbdhIBINZyO39%252BOXIfPVP5mE%2FLgUo%3D" TargetMode="External"/><Relationship Id="rId14" Type="http://schemas.openxmlformats.org/officeDocument/2006/relationships/hyperlink" Target="https://au.mouser.com/ProductDetail/TDK-InvenSense/EV_ICM-20602?qs=u4fy%2FsgLU9PDvlLfBx4paA%3D%3D" TargetMode="External"/><Relationship Id="rId22" Type="http://schemas.openxmlformats.org/officeDocument/2006/relationships/hyperlink" Target="https://au.mouser.com/ProductDetail/Molex/47346-0001?qs=c2CV6XM0DweJBWaSeyWeCw%3D%3D" TargetMode="External"/><Relationship Id="rId27" Type="http://schemas.openxmlformats.org/officeDocument/2006/relationships/hyperlink" Target="https://au.mouser.com/ProductDetail/ROHM-Semiconductor/SDR03EZPD1200?qs=sGAEpiMZZMtlubZbdhIBIK8AeiPKd8jI5FiBmSccIfw%3D" TargetMode="External"/><Relationship Id="rId30" Type="http://schemas.openxmlformats.org/officeDocument/2006/relationships/hyperlink" Target="https://au.mouser.com/ProductDetail/Nexperia/74LVC2G86DC125?qs=me8TqzrmIYXbZy3sMRjHUw%3D%3D" TargetMode="External"/><Relationship Id="rId35" Type="http://schemas.openxmlformats.org/officeDocument/2006/relationships/hyperlink" Target="https://au.mouser.com/ProductDetail/Bel-Fuse/0ZCJ0200FF2C?qs=SRYZG9HaIQ2c%2F4nW1aZeIg%3D%3D" TargetMode="External"/><Relationship Id="rId43" Type="http://schemas.openxmlformats.org/officeDocument/2006/relationships/hyperlink" Target="https://au.mouser.com/ProductDetail/Panasonic/ERJ-UP3F10R0V?qs=sGAEpiMZZMtlubZbdhIBINZyO39%252BOXIfP8pGmM67b0U%3D" TargetMode="External"/><Relationship Id="rId48" Type="http://schemas.openxmlformats.org/officeDocument/2006/relationships/hyperlink" Target="https://au.mouser.com/ProductDetail/Taiyo-Yuden/JMK107ABJ106KAHT?qs=UXgszm6BlbGVg%252B%252Bo5%252BNvhQ%3D%3D" TargetMode="External"/><Relationship Id="rId56" Type="http://schemas.openxmlformats.org/officeDocument/2006/relationships/hyperlink" Target="https://au.rs-online.com/web/p/pcb-headers/5468827" TargetMode="External"/><Relationship Id="rId8" Type="http://schemas.openxmlformats.org/officeDocument/2006/relationships/hyperlink" Target="https://au.mouser.com/ProductDetail/Vishay-Dale/CRCW0603220RJNEAC?qs=sGAEpiMZZMtlubZbdhIBIIZe04wfiaJWuP1eVTGiDpg%3D" TargetMode="External"/><Relationship Id="rId51" Type="http://schemas.openxmlformats.org/officeDocument/2006/relationships/hyperlink" Target="https://au.mouser.com/ProductDetail/Yamaichi-Electronics/PJS008-2120-0?qs=pDnM3xHIg41mTHT1wk7bvQ%3D%3D" TargetMode="External"/><Relationship Id="rId3" Type="http://schemas.openxmlformats.org/officeDocument/2006/relationships/hyperlink" Target="https://au.mouser.com/ProductDetail/Bourns/CMP0603-FX-1002ELF?qs=sGAEpiMZZMtlubZbdhIBIIPWN1VQSu3wvtn3yYqkWIE%3D" TargetMode="External"/><Relationship Id="rId12" Type="http://schemas.openxmlformats.org/officeDocument/2006/relationships/hyperlink" Target="https://au.mouser.com/ProductDetail/Murata-Electronics/GRM31CC80G227ME11L?qs=sGAEpiMZZMsh%252B1woXyUXj%2FxCjkItOqpdtJ17yM6JR6A%3D" TargetMode="External"/><Relationship Id="rId17" Type="http://schemas.openxmlformats.org/officeDocument/2006/relationships/hyperlink" Target="https://au.mouser.com/ProductDetail/Kyocera-AVX/W2H13C1048AT1F?qs=yRKuMHbOG1onjNKOzcED5w%3D%3D" TargetMode="External"/><Relationship Id="rId25" Type="http://schemas.openxmlformats.org/officeDocument/2006/relationships/hyperlink" Target="https://au.mouser.com/ProductDetail/NXP-Semiconductors/TJA1051TK-3118?qs=fhAOlxDPaYVrDQ2e4g%252BBJA%3D%3D" TargetMode="External"/><Relationship Id="rId33" Type="http://schemas.openxmlformats.org/officeDocument/2006/relationships/hyperlink" Target="https://au.mouser.com/ProductDetail/Bourns/CHP0603AFX-4700ELF?qs=sGAEpiMZZMtlubZbdhIBINZyO39%252BOXIfsmxjJ95ijuY%3D" TargetMode="External"/><Relationship Id="rId38" Type="http://schemas.openxmlformats.org/officeDocument/2006/relationships/hyperlink" Target="https://au.mouser.com/ProductDetail/Kingbright/APG1608ZGCK?qs=Oo40KB9lBTmmOma0ledTcg%3D%3D" TargetMode="External"/><Relationship Id="rId46" Type="http://schemas.openxmlformats.org/officeDocument/2006/relationships/hyperlink" Target="https://au.mouser.com/ProductDetail/ROHM-Semiconductor/SDR03EZPF1000?qs=sGAEpiMZZMtlubZbdhIBIIR71ikvQRXLtdTwu3hnA7E%3D" TargetMode="External"/><Relationship Id="rId59" Type="http://schemas.openxmlformats.org/officeDocument/2006/relationships/hyperlink" Target="https://au.mouser.com/ProductDetail/Nexperia/PMEG1030EH115?qs=LOCUfHb8d9uVcQd0kSivzA%3D%3D" TargetMode="External"/><Relationship Id="rId20" Type="http://schemas.openxmlformats.org/officeDocument/2006/relationships/hyperlink" Target="https://au.rs-online.com/web/p/pcb-headers/7521800" TargetMode="External"/><Relationship Id="rId41" Type="http://schemas.openxmlformats.org/officeDocument/2006/relationships/hyperlink" Target="https://au.mouser.com/ProductDetail/Bel-Fuse/0ZCJ0100FF2E?qs=SRYZG9HaIQ16trCtSE8WyA%3D%3D" TargetMode="External"/><Relationship Id="rId54" Type="http://schemas.openxmlformats.org/officeDocument/2006/relationships/hyperlink" Target="https://au.mouser.com/ProductDetail/Cypress-Semiconductor/FM25V02A-G?qs=sGAEpiMZZMutXGli8Ay4kEPfvY4JW7cXBqIf%2FIj4beU%3D" TargetMode="External"/><Relationship Id="rId1" Type="http://schemas.openxmlformats.org/officeDocument/2006/relationships/hyperlink" Target="https://au.mouser.com/ProductDetail/Epson-Timing/FA-20H-24.0000MF20X-K3?qs=CANAagUtPAp2w31393daZQ%3D%3D" TargetMode="External"/><Relationship Id="rId6" Type="http://schemas.openxmlformats.org/officeDocument/2006/relationships/hyperlink" Target="https://au.mouser.com/ProductDetail/KEMET/C0603C104K5RAC3121?qs=oBCMsStVSxe1EkGyoyETtg%3D%3D" TargetMode="External"/><Relationship Id="rId15" Type="http://schemas.openxmlformats.org/officeDocument/2006/relationships/hyperlink" Target="https://au.mouser.com/ProductDetail/Taiyo-Yuden/EMF107B7474KAHT?qs=sGAEpiMZZMsh%252B1woXyUXj30ZYomYlxpXbZmTEzBsZ7s%3D" TargetMode="External"/><Relationship Id="rId23" Type="http://schemas.openxmlformats.org/officeDocument/2006/relationships/hyperlink" Target="https://au.mouser.com/ProductDetail/Murata-Electronics/GCM188R71H103KA37J?qs=N3Kl9KD794T3%2FxlXdF0Axg%3D%3D" TargetMode="External"/><Relationship Id="rId28" Type="http://schemas.openxmlformats.org/officeDocument/2006/relationships/hyperlink" Target="https://au.rs-online.com/web/p/pcb-headers/7521807p?cm_mmc=AU-PPC-DS3A-_-google-_-3_AU_EN_Connectors_PCB+Headers_JST_Phrase-_-JST+-+7521807P+-+SM05B-GHS-TB(LF)(SN)-_-sm05b+ghs+tb+lf+sn&amp;matchtype=p&amp;aud-821594433763:kwd-383463479017&amp;gclid=EAIaIQobChMI7JqB-rP-9wIVtZNmAh2j4w0kEAAYAyAAEgJjvvD_BwE&amp;gclsrc=aw.ds" TargetMode="External"/><Relationship Id="rId36" Type="http://schemas.openxmlformats.org/officeDocument/2006/relationships/hyperlink" Target="https://au.mouser.com/ProductDetail/Murata-Electronics/GRM31CR61A107MEA8K?qs=hd1VzrDQEGiKPwOlEhCnYw%3D%3D" TargetMode="External"/><Relationship Id="rId49" Type="http://schemas.openxmlformats.org/officeDocument/2006/relationships/hyperlink" Target="https://au.mouser.com/ProductDetail/Infineon-Technologies/BSS209PW-H6327?qs=l6ZoeTYLMwPiE0APXKbLcQ%3D%3D" TargetMode="External"/><Relationship Id="rId57" Type="http://schemas.openxmlformats.org/officeDocument/2006/relationships/hyperlink" Target="https://au.element14.com/nxp/tja1051tk-3-118/can-transceiver-aec-q100-5mbps/dp/2776121" TargetMode="External"/><Relationship Id="rId10" Type="http://schemas.openxmlformats.org/officeDocument/2006/relationships/hyperlink" Target="https://au.mouser.com/ProductDetail/Texas-Instruments/LP5907QMFX-3.3Q1?qs=asCBFxFfL1RsL2VYqGFsBQ%3D%3D" TargetMode="External"/><Relationship Id="rId31" Type="http://schemas.openxmlformats.org/officeDocument/2006/relationships/hyperlink" Target="https://au.mouser.com/ProductDetail/Panasonic/ERA-3VEB1501V?qs=sGAEpiMZZMtlubZbdhIBIFX24rZb7BVEH%252BWfeSYccGI%3D" TargetMode="External"/><Relationship Id="rId44" Type="http://schemas.openxmlformats.org/officeDocument/2006/relationships/hyperlink" Target="https://au.mouser.com/ProductDetail/Micro-Commercial-Components-MCC/1N4448X-TP?qs=0RDYWt4CO4fFI8HfN%2F4aEA%3D%3D" TargetMode="External"/><Relationship Id="rId52" Type="http://schemas.openxmlformats.org/officeDocument/2006/relationships/hyperlink" Target="https://au.mouser.com/ProductDetail/Samtec/SSM-105-L-DV?qs=92ilVni64gwpNieSff7mAQ%3D%3D" TargetMode="External"/><Relationship Id="rId60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8"/>
  <sheetViews>
    <sheetView zoomScale="90" zoomScaleNormal="90" workbookViewId="0">
      <selection activeCell="A4" sqref="A4:I4"/>
    </sheetView>
  </sheetViews>
  <sheetFormatPr defaultRowHeight="15" x14ac:dyDescent="0.25"/>
  <cols>
    <col min="1" max="1" width="17.42578125" bestFit="1" customWidth="1"/>
    <col min="2" max="2" width="23.140625" bestFit="1" customWidth="1"/>
    <col min="3" max="3" width="60.42578125" customWidth="1"/>
    <col min="4" max="4" width="11.140625" customWidth="1"/>
    <col min="5" max="5" width="23.85546875" bestFit="1" customWidth="1"/>
    <col min="6" max="6" width="50.140625" customWidth="1"/>
    <col min="7" max="7" width="15.28515625" customWidth="1"/>
    <col min="8" max="8" width="15.42578125" customWidth="1"/>
    <col min="9" max="9" width="15" customWidth="1"/>
    <col min="10" max="10" width="82.140625" customWidth="1"/>
    <col min="11" max="11" width="24.42578125" bestFit="1" customWidth="1"/>
    <col min="12" max="12" width="9.140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4</v>
      </c>
      <c r="G1" t="s">
        <v>5</v>
      </c>
      <c r="H1" t="s">
        <v>6</v>
      </c>
      <c r="I1" t="s">
        <v>7</v>
      </c>
      <c r="J1" t="s">
        <v>14</v>
      </c>
      <c r="K1" t="s">
        <v>36</v>
      </c>
    </row>
    <row r="2" spans="1:11" x14ac:dyDescent="0.25">
      <c r="A2" t="s">
        <v>8</v>
      </c>
      <c r="B2" t="s">
        <v>8</v>
      </c>
      <c r="C2" t="s">
        <v>13</v>
      </c>
      <c r="D2" t="s">
        <v>11</v>
      </c>
      <c r="E2" t="s">
        <v>10</v>
      </c>
      <c r="F2" s="3" t="s">
        <v>12</v>
      </c>
      <c r="G2" s="9">
        <v>31.48</v>
      </c>
      <c r="H2">
        <v>1</v>
      </c>
      <c r="I2" s="1">
        <f>G2*H2</f>
        <v>31.48</v>
      </c>
      <c r="J2" s="11" t="s">
        <v>105</v>
      </c>
      <c r="K2" t="s">
        <v>38</v>
      </c>
    </row>
    <row r="3" spans="1:11" x14ac:dyDescent="0.25">
      <c r="A3" t="s">
        <v>100</v>
      </c>
      <c r="B3" t="s">
        <v>100</v>
      </c>
      <c r="C3" s="2" t="s">
        <v>101</v>
      </c>
      <c r="D3" t="s">
        <v>11</v>
      </c>
      <c r="E3" s="2" t="s">
        <v>103</v>
      </c>
      <c r="F3" s="3" t="s">
        <v>104</v>
      </c>
      <c r="G3" s="9">
        <v>1.77</v>
      </c>
      <c r="H3">
        <v>1</v>
      </c>
      <c r="I3" s="1">
        <f t="shared" ref="I3:I20" si="0">G3*H3</f>
        <v>1.77</v>
      </c>
      <c r="K3" t="s">
        <v>102</v>
      </c>
    </row>
    <row r="4" spans="1:11" x14ac:dyDescent="0.25">
      <c r="A4" t="s">
        <v>39</v>
      </c>
      <c r="B4" t="s">
        <v>39</v>
      </c>
      <c r="C4" s="14" t="s">
        <v>106</v>
      </c>
      <c r="D4" t="s">
        <v>11</v>
      </c>
      <c r="E4" t="s">
        <v>107</v>
      </c>
      <c r="F4" s="3" t="s">
        <v>108</v>
      </c>
      <c r="G4" s="9">
        <v>9.66</v>
      </c>
      <c r="H4">
        <v>1</v>
      </c>
      <c r="I4" s="1">
        <f t="shared" si="0"/>
        <v>9.66</v>
      </c>
      <c r="J4" s="11" t="s">
        <v>154</v>
      </c>
      <c r="K4" t="s">
        <v>40</v>
      </c>
    </row>
    <row r="5" spans="1:11" x14ac:dyDescent="0.25">
      <c r="A5" t="s">
        <v>190</v>
      </c>
      <c r="B5" t="s">
        <v>191</v>
      </c>
      <c r="C5" t="s">
        <v>192</v>
      </c>
      <c r="D5" t="s">
        <v>118</v>
      </c>
      <c r="E5" t="s">
        <v>193</v>
      </c>
      <c r="F5" s="3" t="s">
        <v>194</v>
      </c>
      <c r="G5" s="9">
        <v>1.121</v>
      </c>
      <c r="H5">
        <v>1</v>
      </c>
      <c r="I5" s="1">
        <f t="shared" si="0"/>
        <v>1.121</v>
      </c>
      <c r="J5" s="11" t="s">
        <v>195</v>
      </c>
      <c r="K5" t="s">
        <v>196</v>
      </c>
    </row>
    <row r="6" spans="1:11" x14ac:dyDescent="0.25">
      <c r="A6" s="2" t="s">
        <v>15</v>
      </c>
      <c r="B6" t="s">
        <v>15</v>
      </c>
      <c r="C6" t="s">
        <v>18</v>
      </c>
      <c r="D6" t="s">
        <v>11</v>
      </c>
      <c r="E6" t="s">
        <v>17</v>
      </c>
      <c r="F6" s="3" t="s">
        <v>16</v>
      </c>
      <c r="G6" s="9">
        <v>1.07</v>
      </c>
      <c r="H6">
        <v>1</v>
      </c>
      <c r="I6" s="1">
        <f t="shared" si="0"/>
        <v>1.07</v>
      </c>
      <c r="K6" t="s">
        <v>37</v>
      </c>
    </row>
    <row r="7" spans="1:11" x14ac:dyDescent="0.25">
      <c r="A7" s="5" t="s">
        <v>20</v>
      </c>
      <c r="B7" s="5" t="s">
        <v>20</v>
      </c>
      <c r="C7" s="5" t="s">
        <v>21</v>
      </c>
      <c r="D7" s="5" t="s">
        <v>11</v>
      </c>
      <c r="E7" s="5" t="s">
        <v>19</v>
      </c>
      <c r="F7" s="6" t="s">
        <v>22</v>
      </c>
      <c r="G7" s="10">
        <v>1.08</v>
      </c>
      <c r="H7" s="5">
        <v>9</v>
      </c>
      <c r="I7" s="1">
        <f t="shared" si="0"/>
        <v>9.7200000000000006</v>
      </c>
      <c r="J7" s="5" t="s">
        <v>135</v>
      </c>
      <c r="K7" t="s">
        <v>294</v>
      </c>
    </row>
    <row r="8" spans="1:11" x14ac:dyDescent="0.25">
      <c r="A8" s="5" t="s">
        <v>23</v>
      </c>
      <c r="B8" s="5" t="s">
        <v>23</v>
      </c>
      <c r="C8" s="5" t="s">
        <v>24</v>
      </c>
      <c r="D8" s="5" t="s">
        <v>11</v>
      </c>
      <c r="E8" s="5" t="s">
        <v>25</v>
      </c>
      <c r="F8" s="6" t="s">
        <v>26</v>
      </c>
      <c r="G8" s="10">
        <v>0.70399999999999996</v>
      </c>
      <c r="H8" s="5">
        <v>2</v>
      </c>
      <c r="I8" s="1">
        <f t="shared" si="0"/>
        <v>1.4079999999999999</v>
      </c>
      <c r="J8" s="5" t="s">
        <v>136</v>
      </c>
      <c r="K8" t="s">
        <v>348</v>
      </c>
    </row>
    <row r="9" spans="1:11" x14ac:dyDescent="0.25">
      <c r="A9" s="5" t="s">
        <v>27</v>
      </c>
      <c r="B9" s="7" t="s">
        <v>27</v>
      </c>
      <c r="C9" s="5" t="s">
        <v>28</v>
      </c>
      <c r="D9" s="5" t="s">
        <v>11</v>
      </c>
      <c r="E9" s="5" t="s">
        <v>29</v>
      </c>
      <c r="F9" s="6" t="s">
        <v>30</v>
      </c>
      <c r="G9" s="10">
        <v>0.51300000000000001</v>
      </c>
      <c r="H9" s="5">
        <v>12</v>
      </c>
      <c r="I9" s="1">
        <f t="shared" si="0"/>
        <v>6.1560000000000006</v>
      </c>
      <c r="J9" s="5" t="s">
        <v>137</v>
      </c>
      <c r="K9" t="s">
        <v>206</v>
      </c>
    </row>
    <row r="10" spans="1:11" x14ac:dyDescent="0.25">
      <c r="A10" s="5" t="s">
        <v>31</v>
      </c>
      <c r="B10" t="s">
        <v>31</v>
      </c>
      <c r="C10" s="5" t="s">
        <v>32</v>
      </c>
      <c r="D10" s="5" t="s">
        <v>11</v>
      </c>
      <c r="E10" s="5" t="s">
        <v>33</v>
      </c>
      <c r="F10" s="8" t="s">
        <v>34</v>
      </c>
      <c r="G10" s="9">
        <v>0.191</v>
      </c>
      <c r="H10" s="5">
        <v>17</v>
      </c>
      <c r="I10" s="1">
        <f t="shared" si="0"/>
        <v>3.2469999999999999</v>
      </c>
      <c r="J10" s="5" t="s">
        <v>288</v>
      </c>
      <c r="K10" t="s">
        <v>302</v>
      </c>
    </row>
    <row r="11" spans="1:11" x14ac:dyDescent="0.25">
      <c r="A11" s="5" t="s">
        <v>51</v>
      </c>
      <c r="B11" t="s">
        <v>51</v>
      </c>
      <c r="C11" s="5" t="s">
        <v>52</v>
      </c>
      <c r="D11" s="5" t="s">
        <v>11</v>
      </c>
      <c r="E11" s="5" t="s">
        <v>53</v>
      </c>
      <c r="F11" s="3" t="s">
        <v>50</v>
      </c>
      <c r="G11" s="1">
        <v>1.03</v>
      </c>
      <c r="H11" s="5">
        <v>2</v>
      </c>
      <c r="I11" s="1">
        <f t="shared" si="0"/>
        <v>2.06</v>
      </c>
      <c r="J11" s="12" t="s">
        <v>54</v>
      </c>
      <c r="K11" t="s">
        <v>88</v>
      </c>
    </row>
    <row r="12" spans="1:11" x14ac:dyDescent="0.25">
      <c r="A12" s="5" t="s">
        <v>309</v>
      </c>
      <c r="B12" t="s">
        <v>309</v>
      </c>
      <c r="C12" s="5" t="s">
        <v>35</v>
      </c>
      <c r="D12" s="5" t="s">
        <v>11</v>
      </c>
      <c r="E12" s="5" t="s">
        <v>310</v>
      </c>
      <c r="F12" s="8" t="s">
        <v>311</v>
      </c>
      <c r="G12" s="1"/>
      <c r="H12" s="5">
        <v>1</v>
      </c>
      <c r="I12" s="1">
        <f t="shared" si="0"/>
        <v>0</v>
      </c>
      <c r="J12" s="4" t="s">
        <v>312</v>
      </c>
      <c r="K12" t="s">
        <v>55</v>
      </c>
    </row>
    <row r="13" spans="1:11" x14ac:dyDescent="0.25">
      <c r="A13" s="5" t="s">
        <v>42</v>
      </c>
      <c r="B13" t="s">
        <v>42</v>
      </c>
      <c r="C13" s="5" t="s">
        <v>44</v>
      </c>
      <c r="D13" s="5" t="s">
        <v>11</v>
      </c>
      <c r="E13" s="5" t="s">
        <v>45</v>
      </c>
      <c r="F13" s="3" t="s">
        <v>43</v>
      </c>
      <c r="G13" s="1">
        <v>0.15</v>
      </c>
      <c r="H13" s="5">
        <v>6</v>
      </c>
      <c r="I13" s="1">
        <f t="shared" si="0"/>
        <v>0.89999999999999991</v>
      </c>
      <c r="J13" s="5" t="s">
        <v>138</v>
      </c>
      <c r="K13" t="s">
        <v>240</v>
      </c>
    </row>
    <row r="14" spans="1:11" x14ac:dyDescent="0.25">
      <c r="A14" s="5" t="s">
        <v>49</v>
      </c>
      <c r="B14" t="s">
        <v>49</v>
      </c>
      <c r="C14" s="5" t="s">
        <v>47</v>
      </c>
      <c r="D14" s="5" t="s">
        <v>11</v>
      </c>
      <c r="E14" s="5" t="s">
        <v>48</v>
      </c>
      <c r="F14" s="3" t="s">
        <v>46</v>
      </c>
      <c r="G14" s="1">
        <v>2.54</v>
      </c>
      <c r="H14" s="5">
        <v>3</v>
      </c>
      <c r="I14" s="1">
        <f t="shared" si="0"/>
        <v>7.62</v>
      </c>
      <c r="J14" s="5" t="s">
        <v>139</v>
      </c>
      <c r="K14" t="s">
        <v>184</v>
      </c>
    </row>
    <row r="15" spans="1:11" x14ac:dyDescent="0.25">
      <c r="A15" s="5" t="s">
        <v>57</v>
      </c>
      <c r="B15" t="s">
        <v>57</v>
      </c>
      <c r="C15" s="5" t="s">
        <v>58</v>
      </c>
      <c r="D15" s="5" t="s">
        <v>11</v>
      </c>
      <c r="E15" s="5" t="s">
        <v>59</v>
      </c>
      <c r="F15" s="3" t="s">
        <v>56</v>
      </c>
      <c r="G15" s="1">
        <v>1.66</v>
      </c>
      <c r="H15" s="5">
        <v>3</v>
      </c>
      <c r="I15" s="1">
        <f t="shared" si="0"/>
        <v>4.9799999999999995</v>
      </c>
      <c r="J15" s="5" t="s">
        <v>140</v>
      </c>
      <c r="K15" t="s">
        <v>295</v>
      </c>
    </row>
    <row r="16" spans="1:11" x14ac:dyDescent="0.25">
      <c r="A16" s="5" t="s">
        <v>63</v>
      </c>
      <c r="B16" t="s">
        <v>63</v>
      </c>
      <c r="C16" s="5" t="s">
        <v>64</v>
      </c>
      <c r="D16" s="5" t="s">
        <v>11</v>
      </c>
      <c r="E16" s="5" t="s">
        <v>65</v>
      </c>
      <c r="F16" s="3" t="s">
        <v>60</v>
      </c>
      <c r="G16" s="1">
        <v>2.93</v>
      </c>
      <c r="H16" s="5">
        <v>1</v>
      </c>
      <c r="I16" s="1">
        <f t="shared" si="0"/>
        <v>2.93</v>
      </c>
      <c r="J16" s="12" t="s">
        <v>62</v>
      </c>
      <c r="K16" t="s">
        <v>61</v>
      </c>
    </row>
    <row r="17" spans="1:11" x14ac:dyDescent="0.25">
      <c r="A17" s="5" t="s">
        <v>69</v>
      </c>
      <c r="B17" t="s">
        <v>69</v>
      </c>
      <c r="C17" s="5" t="s">
        <v>68</v>
      </c>
      <c r="D17" s="5" t="s">
        <v>11</v>
      </c>
      <c r="E17" s="5" t="s">
        <v>67</v>
      </c>
      <c r="F17" s="3" t="s">
        <v>66</v>
      </c>
      <c r="G17" s="1">
        <v>21.24</v>
      </c>
      <c r="H17" s="5">
        <v>1</v>
      </c>
      <c r="I17" s="1">
        <f t="shared" si="0"/>
        <v>21.24</v>
      </c>
      <c r="J17" s="4" t="s">
        <v>70</v>
      </c>
      <c r="K17" t="s">
        <v>71</v>
      </c>
    </row>
    <row r="18" spans="1:11" x14ac:dyDescent="0.25">
      <c r="A18" s="5" t="s">
        <v>72</v>
      </c>
      <c r="B18" t="s">
        <v>72</v>
      </c>
      <c r="C18" s="5" t="s">
        <v>73</v>
      </c>
      <c r="D18" s="5" t="s">
        <v>11</v>
      </c>
      <c r="E18" s="5" t="s">
        <v>74</v>
      </c>
      <c r="F18" s="8" t="s">
        <v>75</v>
      </c>
      <c r="G18" s="1">
        <v>10.91</v>
      </c>
      <c r="H18" s="5">
        <v>1</v>
      </c>
      <c r="I18" s="1">
        <f t="shared" si="0"/>
        <v>10.91</v>
      </c>
      <c r="J18" s="4" t="s">
        <v>76</v>
      </c>
      <c r="K18" t="s">
        <v>77</v>
      </c>
    </row>
    <row r="19" spans="1:11" x14ac:dyDescent="0.25">
      <c r="A19" s="5" t="s">
        <v>79</v>
      </c>
      <c r="B19" t="s">
        <v>79</v>
      </c>
      <c r="C19" s="5" t="s">
        <v>78</v>
      </c>
      <c r="D19" s="5" t="s">
        <v>11</v>
      </c>
      <c r="E19" s="5" t="s">
        <v>80</v>
      </c>
      <c r="F19" s="8" t="s">
        <v>81</v>
      </c>
      <c r="G19" s="1">
        <v>0.23499999999999999</v>
      </c>
      <c r="H19" s="5">
        <v>1</v>
      </c>
      <c r="I19" s="1">
        <f t="shared" si="0"/>
        <v>0.23499999999999999</v>
      </c>
      <c r="K19" t="s">
        <v>82</v>
      </c>
    </row>
    <row r="20" spans="1:11" x14ac:dyDescent="0.25">
      <c r="A20" s="5" t="s">
        <v>83</v>
      </c>
      <c r="B20" t="s">
        <v>83</v>
      </c>
      <c r="C20" s="5" t="s">
        <v>84</v>
      </c>
      <c r="D20" s="5" t="s">
        <v>11</v>
      </c>
      <c r="E20" s="5" t="s">
        <v>86</v>
      </c>
      <c r="F20" s="8" t="s">
        <v>85</v>
      </c>
      <c r="G20" s="1">
        <v>30.9</v>
      </c>
      <c r="H20" s="5">
        <v>1</v>
      </c>
      <c r="I20" s="1">
        <f t="shared" si="0"/>
        <v>30.9</v>
      </c>
      <c r="K20" t="s">
        <v>87</v>
      </c>
    </row>
    <row r="21" spans="1:11" x14ac:dyDescent="0.25">
      <c r="A21" s="5" t="s">
        <v>89</v>
      </c>
      <c r="B21" t="s">
        <v>89</v>
      </c>
      <c r="C21" s="5" t="s">
        <v>90</v>
      </c>
      <c r="D21" s="5" t="s">
        <v>11</v>
      </c>
      <c r="E21" s="5" t="s">
        <v>91</v>
      </c>
      <c r="F21" s="8" t="s">
        <v>92</v>
      </c>
      <c r="I21" s="1">
        <f t="shared" ref="I21:I30" si="1">G21*H21</f>
        <v>0</v>
      </c>
      <c r="J21" s="13" t="s">
        <v>93</v>
      </c>
      <c r="K21" t="s">
        <v>185</v>
      </c>
    </row>
    <row r="22" spans="1:11" x14ac:dyDescent="0.25">
      <c r="A22" s="5" t="s">
        <v>94</v>
      </c>
      <c r="B22" t="s">
        <v>94</v>
      </c>
      <c r="C22" s="5" t="s">
        <v>95</v>
      </c>
      <c r="D22" s="5" t="s">
        <v>11</v>
      </c>
      <c r="E22" s="5" t="s">
        <v>97</v>
      </c>
      <c r="F22" s="3" t="s">
        <v>96</v>
      </c>
      <c r="G22" s="1">
        <v>0.76200000000000001</v>
      </c>
      <c r="H22" s="5">
        <v>1</v>
      </c>
      <c r="I22" s="1">
        <f t="shared" si="1"/>
        <v>0.76200000000000001</v>
      </c>
      <c r="K22" t="s">
        <v>98</v>
      </c>
    </row>
    <row r="23" spans="1:11" x14ac:dyDescent="0.25">
      <c r="A23" s="5" t="s">
        <v>109</v>
      </c>
      <c r="B23" t="s">
        <v>109</v>
      </c>
      <c r="C23" s="5" t="s">
        <v>110</v>
      </c>
      <c r="D23" s="5" t="s">
        <v>11</v>
      </c>
      <c r="E23" s="5" t="s">
        <v>111</v>
      </c>
      <c r="F23" s="8" t="s">
        <v>112</v>
      </c>
      <c r="G23" s="1">
        <v>0.32300000000000001</v>
      </c>
      <c r="H23" s="5">
        <v>8</v>
      </c>
      <c r="I23" s="1">
        <f t="shared" si="1"/>
        <v>2.5840000000000001</v>
      </c>
      <c r="J23" t="s">
        <v>143</v>
      </c>
      <c r="K23" t="s">
        <v>197</v>
      </c>
    </row>
    <row r="24" spans="1:11" x14ac:dyDescent="0.25">
      <c r="A24" s="5" t="s">
        <v>125</v>
      </c>
      <c r="B24" t="s">
        <v>125</v>
      </c>
      <c r="C24" s="5" t="s">
        <v>126</v>
      </c>
      <c r="D24" s="5" t="s">
        <v>11</v>
      </c>
      <c r="E24" s="5" t="s">
        <v>127</v>
      </c>
      <c r="F24" s="8" t="s">
        <v>128</v>
      </c>
      <c r="G24" s="1">
        <v>1.61</v>
      </c>
      <c r="H24" s="5">
        <v>1</v>
      </c>
      <c r="I24" s="1">
        <f t="shared" si="1"/>
        <v>1.61</v>
      </c>
      <c r="K24" t="s">
        <v>129</v>
      </c>
    </row>
    <row r="25" spans="1:11" x14ac:dyDescent="0.25">
      <c r="A25" s="5" t="s">
        <v>114</v>
      </c>
      <c r="B25" t="s">
        <v>115</v>
      </c>
      <c r="C25" s="5" t="s">
        <v>116</v>
      </c>
      <c r="D25" s="5" t="s">
        <v>118</v>
      </c>
      <c r="E25" s="5" t="s">
        <v>117</v>
      </c>
      <c r="F25" s="3" t="s">
        <v>113</v>
      </c>
      <c r="G25" s="1">
        <v>1.302</v>
      </c>
      <c r="H25" s="5">
        <v>1</v>
      </c>
      <c r="I25" s="1">
        <f t="shared" si="1"/>
        <v>1.302</v>
      </c>
      <c r="K25" t="s">
        <v>124</v>
      </c>
    </row>
    <row r="26" spans="1:11" x14ac:dyDescent="0.25">
      <c r="A26" s="5" t="s">
        <v>119</v>
      </c>
      <c r="B26" t="s">
        <v>119</v>
      </c>
      <c r="C26" s="5" t="s">
        <v>120</v>
      </c>
      <c r="D26" s="5" t="s">
        <v>11</v>
      </c>
      <c r="E26" s="5" t="s">
        <v>121</v>
      </c>
      <c r="F26" s="8" t="s">
        <v>122</v>
      </c>
      <c r="G26" s="1">
        <v>0.41</v>
      </c>
      <c r="H26" s="5">
        <v>2</v>
      </c>
      <c r="I26" s="1">
        <f t="shared" si="1"/>
        <v>0.82</v>
      </c>
      <c r="J26" t="s">
        <v>141</v>
      </c>
      <c r="K26" t="s">
        <v>123</v>
      </c>
    </row>
    <row r="27" spans="1:11" x14ac:dyDescent="0.25">
      <c r="A27" s="5" t="s">
        <v>131</v>
      </c>
      <c r="B27" t="s">
        <v>131</v>
      </c>
      <c r="C27" s="5" t="s">
        <v>130</v>
      </c>
      <c r="D27" s="5" t="s">
        <v>11</v>
      </c>
      <c r="E27" s="5" t="s">
        <v>132</v>
      </c>
      <c r="F27" s="3" t="s">
        <v>133</v>
      </c>
      <c r="G27" s="1">
        <v>3.01</v>
      </c>
      <c r="H27" s="5">
        <v>2</v>
      </c>
      <c r="I27" s="1">
        <f t="shared" si="1"/>
        <v>6.02</v>
      </c>
      <c r="J27" t="s">
        <v>142</v>
      </c>
      <c r="K27" t="s">
        <v>134</v>
      </c>
    </row>
    <row r="28" spans="1:11" x14ac:dyDescent="0.25">
      <c r="A28" s="5" t="s">
        <v>344</v>
      </c>
      <c r="B28" t="s">
        <v>344</v>
      </c>
      <c r="C28" s="5" t="s">
        <v>345</v>
      </c>
      <c r="D28" s="5" t="s">
        <v>11</v>
      </c>
      <c r="E28" s="5" t="s">
        <v>346</v>
      </c>
      <c r="F28" s="3" t="s">
        <v>343</v>
      </c>
      <c r="G28" s="1">
        <v>3.9</v>
      </c>
      <c r="H28" s="5">
        <v>1</v>
      </c>
      <c r="I28" s="1">
        <f t="shared" si="1"/>
        <v>3.9</v>
      </c>
      <c r="K28" t="s">
        <v>347</v>
      </c>
    </row>
    <row r="29" spans="1:11" x14ac:dyDescent="0.25">
      <c r="A29" s="5" t="s">
        <v>144</v>
      </c>
      <c r="B29" t="s">
        <v>144</v>
      </c>
      <c r="C29" s="5" t="s">
        <v>145</v>
      </c>
      <c r="D29" s="5" t="s">
        <v>11</v>
      </c>
      <c r="E29" s="5" t="s">
        <v>146</v>
      </c>
      <c r="F29" s="3" t="s">
        <v>147</v>
      </c>
      <c r="G29" s="1">
        <v>0.48399999999999999</v>
      </c>
      <c r="H29" s="5">
        <v>5</v>
      </c>
      <c r="I29" s="1">
        <f t="shared" si="1"/>
        <v>2.42</v>
      </c>
      <c r="J29" t="s">
        <v>198</v>
      </c>
      <c r="K29" t="s">
        <v>148</v>
      </c>
    </row>
    <row r="30" spans="1:11" x14ac:dyDescent="0.25">
      <c r="A30" s="5" t="s">
        <v>149</v>
      </c>
      <c r="B30" t="s">
        <v>149</v>
      </c>
      <c r="C30" s="5" t="s">
        <v>150</v>
      </c>
      <c r="D30" s="5" t="s">
        <v>11</v>
      </c>
      <c r="E30" s="5" t="s">
        <v>151</v>
      </c>
      <c r="F30" s="3" t="s">
        <v>152</v>
      </c>
      <c r="G30" s="1">
        <v>2.1</v>
      </c>
      <c r="H30" s="5">
        <v>1</v>
      </c>
      <c r="I30" s="1">
        <f t="shared" si="1"/>
        <v>2.1</v>
      </c>
      <c r="J30" s="11" t="s">
        <v>153</v>
      </c>
      <c r="K30" t="s">
        <v>155</v>
      </c>
    </row>
    <row r="31" spans="1:11" x14ac:dyDescent="0.25">
      <c r="A31" s="5" t="s">
        <v>156</v>
      </c>
      <c r="B31" t="s">
        <v>157</v>
      </c>
      <c r="C31" s="5" t="s">
        <v>116</v>
      </c>
      <c r="D31" s="5" t="s">
        <v>118</v>
      </c>
      <c r="E31" s="5" t="s">
        <v>158</v>
      </c>
      <c r="F31" s="8" t="s">
        <v>159</v>
      </c>
      <c r="G31" s="1">
        <v>1.1180000000000001</v>
      </c>
      <c r="H31" s="5">
        <v>1</v>
      </c>
      <c r="I31" s="1">
        <f t="shared" ref="I31:I54" si="2">G31*H31</f>
        <v>1.1180000000000001</v>
      </c>
      <c r="J31" s="11" t="s">
        <v>160</v>
      </c>
      <c r="K31" t="s">
        <v>161</v>
      </c>
    </row>
    <row r="32" spans="1:11" x14ac:dyDescent="0.25">
      <c r="A32" s="5" t="s">
        <v>162</v>
      </c>
      <c r="B32" t="s">
        <v>162</v>
      </c>
      <c r="C32" s="5" t="s">
        <v>110</v>
      </c>
      <c r="D32" s="5" t="s">
        <v>11</v>
      </c>
      <c r="E32" s="5" t="s">
        <v>163</v>
      </c>
      <c r="F32" s="8" t="s">
        <v>164</v>
      </c>
      <c r="G32" s="1">
        <v>0.32300000000000001</v>
      </c>
      <c r="H32" s="5">
        <v>1</v>
      </c>
      <c r="I32" s="1">
        <f t="shared" si="2"/>
        <v>0.32300000000000001</v>
      </c>
      <c r="J32" t="s">
        <v>165</v>
      </c>
      <c r="K32" t="s">
        <v>166</v>
      </c>
    </row>
    <row r="33" spans="1:11" x14ac:dyDescent="0.25">
      <c r="A33" s="5" t="s">
        <v>167</v>
      </c>
      <c r="B33" t="s">
        <v>168</v>
      </c>
      <c r="C33" s="5" t="s">
        <v>116</v>
      </c>
      <c r="D33" s="5" t="s">
        <v>118</v>
      </c>
      <c r="E33" s="5" t="s">
        <v>169</v>
      </c>
      <c r="F33" s="8" t="s">
        <v>170</v>
      </c>
      <c r="G33" s="1">
        <v>1.206</v>
      </c>
      <c r="H33" s="5">
        <v>1</v>
      </c>
      <c r="I33" s="1">
        <f t="shared" si="2"/>
        <v>1.206</v>
      </c>
      <c r="J33" s="11" t="s">
        <v>171</v>
      </c>
      <c r="K33" t="s">
        <v>172</v>
      </c>
    </row>
    <row r="34" spans="1:11" x14ac:dyDescent="0.25">
      <c r="A34" s="5" t="s">
        <v>173</v>
      </c>
      <c r="B34" t="s">
        <v>173</v>
      </c>
      <c r="C34" s="5" t="s">
        <v>176</v>
      </c>
      <c r="D34" s="5" t="s">
        <v>175</v>
      </c>
      <c r="E34" s="5" t="s">
        <v>174</v>
      </c>
      <c r="F34" s="8" t="s">
        <v>177</v>
      </c>
      <c r="G34" s="1">
        <v>0.43</v>
      </c>
      <c r="H34" s="5">
        <v>1</v>
      </c>
      <c r="I34" s="1">
        <f t="shared" si="2"/>
        <v>0.43</v>
      </c>
      <c r="K34" t="s">
        <v>178</v>
      </c>
    </row>
    <row r="35" spans="1:11" x14ac:dyDescent="0.25">
      <c r="A35" s="5" t="s">
        <v>179</v>
      </c>
      <c r="B35" t="s">
        <v>179</v>
      </c>
      <c r="C35" s="5" t="s">
        <v>180</v>
      </c>
      <c r="D35" s="5" t="s">
        <v>11</v>
      </c>
      <c r="E35" s="5" t="s">
        <v>181</v>
      </c>
      <c r="F35" s="8" t="s">
        <v>182</v>
      </c>
      <c r="G35" s="1">
        <v>1.01</v>
      </c>
      <c r="H35" s="5">
        <v>1</v>
      </c>
      <c r="I35" s="1">
        <f t="shared" si="2"/>
        <v>1.01</v>
      </c>
      <c r="K35" t="s">
        <v>183</v>
      </c>
    </row>
    <row r="36" spans="1:11" x14ac:dyDescent="0.25">
      <c r="A36" s="5" t="s">
        <v>186</v>
      </c>
      <c r="B36" t="s">
        <v>186</v>
      </c>
      <c r="C36" s="5" t="s">
        <v>187</v>
      </c>
      <c r="D36" s="5" t="s">
        <v>11</v>
      </c>
      <c r="E36" s="5" t="s">
        <v>188</v>
      </c>
      <c r="F36" s="8" t="s">
        <v>189</v>
      </c>
      <c r="G36" s="1">
        <v>0.96799999999999997</v>
      </c>
      <c r="H36" s="5">
        <v>3</v>
      </c>
      <c r="I36" s="1">
        <f t="shared" si="2"/>
        <v>2.9039999999999999</v>
      </c>
      <c r="J36" t="s">
        <v>204</v>
      </c>
      <c r="K36" t="s">
        <v>199</v>
      </c>
    </row>
    <row r="37" spans="1:11" x14ac:dyDescent="0.25">
      <c r="A37" s="5" t="s">
        <v>200</v>
      </c>
      <c r="B37" t="s">
        <v>200</v>
      </c>
      <c r="C37" s="5" t="s">
        <v>110</v>
      </c>
      <c r="D37" s="5" t="s">
        <v>11</v>
      </c>
      <c r="E37" s="5" t="s">
        <v>201</v>
      </c>
      <c r="F37" s="8" t="s">
        <v>202</v>
      </c>
      <c r="G37" s="1">
        <v>0.32300000000000001</v>
      </c>
      <c r="H37" s="5">
        <v>1</v>
      </c>
      <c r="I37" s="1">
        <f t="shared" si="2"/>
        <v>0.32300000000000001</v>
      </c>
      <c r="J37" t="s">
        <v>203</v>
      </c>
      <c r="K37" t="s">
        <v>205</v>
      </c>
    </row>
    <row r="38" spans="1:11" x14ac:dyDescent="0.25">
      <c r="A38" s="5" t="s">
        <v>209</v>
      </c>
      <c r="B38" t="s">
        <v>209</v>
      </c>
      <c r="C38" s="5" t="s">
        <v>210</v>
      </c>
      <c r="D38" s="5" t="s">
        <v>11</v>
      </c>
      <c r="E38" s="5" t="s">
        <v>208</v>
      </c>
      <c r="F38" s="3" t="s">
        <v>207</v>
      </c>
      <c r="G38" s="1">
        <v>0.77700000000000002</v>
      </c>
      <c r="H38" s="5">
        <v>1</v>
      </c>
      <c r="I38" s="1">
        <f t="shared" si="2"/>
        <v>0.77700000000000002</v>
      </c>
      <c r="J38" t="s">
        <v>211</v>
      </c>
      <c r="K38" t="s">
        <v>212</v>
      </c>
    </row>
    <row r="39" spans="1:11" x14ac:dyDescent="0.25">
      <c r="A39" s="5" t="s">
        <v>213</v>
      </c>
      <c r="B39" t="s">
        <v>213</v>
      </c>
      <c r="C39" s="5" t="s">
        <v>214</v>
      </c>
      <c r="D39" s="5" t="s">
        <v>11</v>
      </c>
      <c r="E39" s="5" t="s">
        <v>215</v>
      </c>
      <c r="F39" s="8" t="s">
        <v>216</v>
      </c>
      <c r="G39" s="1">
        <v>0.71799999999999997</v>
      </c>
      <c r="H39" s="5">
        <v>1</v>
      </c>
      <c r="I39" s="1">
        <f t="shared" si="2"/>
        <v>0.71799999999999997</v>
      </c>
      <c r="K39" t="s">
        <v>217</v>
      </c>
    </row>
    <row r="40" spans="1:11" x14ac:dyDescent="0.25">
      <c r="A40" s="5" t="s">
        <v>218</v>
      </c>
      <c r="B40" t="s">
        <v>218</v>
      </c>
      <c r="C40" s="5" t="s">
        <v>219</v>
      </c>
      <c r="D40" s="5" t="s">
        <v>11</v>
      </c>
      <c r="E40" s="5" t="s">
        <v>220</v>
      </c>
      <c r="F40" s="8" t="s">
        <v>221</v>
      </c>
      <c r="G40" s="1">
        <v>0.45400000000000001</v>
      </c>
      <c r="H40" s="5">
        <v>1</v>
      </c>
      <c r="I40" s="1">
        <f t="shared" si="2"/>
        <v>0.45400000000000001</v>
      </c>
      <c r="J40" t="s">
        <v>251</v>
      </c>
      <c r="K40" t="s">
        <v>227</v>
      </c>
    </row>
    <row r="41" spans="1:11" x14ac:dyDescent="0.25">
      <c r="A41" s="5" t="s">
        <v>222</v>
      </c>
      <c r="B41" t="s">
        <v>222</v>
      </c>
      <c r="C41" s="5" t="s">
        <v>223</v>
      </c>
      <c r="D41" s="5" t="s">
        <v>11</v>
      </c>
      <c r="E41" s="5" t="s">
        <v>224</v>
      </c>
      <c r="F41" s="8" t="s">
        <v>225</v>
      </c>
      <c r="G41" s="1">
        <v>1.19</v>
      </c>
      <c r="H41" s="5">
        <v>2</v>
      </c>
      <c r="I41" s="1">
        <f t="shared" si="2"/>
        <v>2.38</v>
      </c>
      <c r="J41" t="s">
        <v>226</v>
      </c>
      <c r="K41" t="s">
        <v>239</v>
      </c>
    </row>
    <row r="42" spans="1:11" x14ac:dyDescent="0.25">
      <c r="A42" s="5" t="s">
        <v>228</v>
      </c>
      <c r="B42" t="s">
        <v>228</v>
      </c>
      <c r="C42" s="5" t="s">
        <v>229</v>
      </c>
      <c r="D42" s="5" t="s">
        <v>11</v>
      </c>
      <c r="E42" s="5" t="s">
        <v>230</v>
      </c>
      <c r="F42" s="8" t="s">
        <v>231</v>
      </c>
      <c r="G42" s="1">
        <v>0.58599999999999997</v>
      </c>
      <c r="H42" s="5">
        <v>1</v>
      </c>
      <c r="I42" s="1">
        <f t="shared" si="2"/>
        <v>0.58599999999999997</v>
      </c>
      <c r="J42" t="s">
        <v>232</v>
      </c>
      <c r="K42" t="s">
        <v>246</v>
      </c>
    </row>
    <row r="43" spans="1:11" x14ac:dyDescent="0.25">
      <c r="A43" s="5" t="s">
        <v>233</v>
      </c>
      <c r="B43" t="s">
        <v>233</v>
      </c>
      <c r="C43" s="5" t="s">
        <v>234</v>
      </c>
      <c r="D43" s="5" t="s">
        <v>11</v>
      </c>
      <c r="E43" s="5" t="s">
        <v>235</v>
      </c>
      <c r="F43" s="8" t="s">
        <v>236</v>
      </c>
      <c r="G43" s="1">
        <v>0.92400000000000004</v>
      </c>
      <c r="H43" s="5">
        <v>1</v>
      </c>
      <c r="I43" s="1">
        <f t="shared" si="2"/>
        <v>0.92400000000000004</v>
      </c>
      <c r="J43" t="s">
        <v>237</v>
      </c>
      <c r="K43" t="s">
        <v>238</v>
      </c>
    </row>
    <row r="44" spans="1:11" x14ac:dyDescent="0.25">
      <c r="A44" s="5" t="s">
        <v>242</v>
      </c>
      <c r="B44" t="s">
        <v>242</v>
      </c>
      <c r="C44" s="5" t="s">
        <v>243</v>
      </c>
      <c r="D44" s="5" t="s">
        <v>11</v>
      </c>
      <c r="E44" s="5" t="s">
        <v>244</v>
      </c>
      <c r="F44" s="3" t="s">
        <v>241</v>
      </c>
      <c r="G44" s="1">
        <v>0.60099999999999998</v>
      </c>
      <c r="H44" s="5">
        <v>1</v>
      </c>
      <c r="I44" s="1">
        <f t="shared" si="2"/>
        <v>0.60099999999999998</v>
      </c>
      <c r="K44" t="s">
        <v>245</v>
      </c>
    </row>
    <row r="45" spans="1:11" x14ac:dyDescent="0.25">
      <c r="A45" s="5" t="s">
        <v>247</v>
      </c>
      <c r="B45" t="s">
        <v>247</v>
      </c>
      <c r="C45" s="5" t="s">
        <v>248</v>
      </c>
      <c r="D45" s="5" t="s">
        <v>11</v>
      </c>
      <c r="E45" s="5" t="s">
        <v>249</v>
      </c>
      <c r="F45" s="8" t="s">
        <v>250</v>
      </c>
      <c r="G45" s="1">
        <v>0.20499999999999999</v>
      </c>
      <c r="H45" s="5">
        <v>1</v>
      </c>
      <c r="I45" s="1">
        <f t="shared" si="2"/>
        <v>0.20499999999999999</v>
      </c>
      <c r="J45" t="s">
        <v>252</v>
      </c>
      <c r="K45" t="s">
        <v>253</v>
      </c>
    </row>
    <row r="46" spans="1:11" x14ac:dyDescent="0.25">
      <c r="A46" s="5" t="s">
        <v>254</v>
      </c>
      <c r="B46" t="s">
        <v>254</v>
      </c>
      <c r="C46" s="5" t="s">
        <v>255</v>
      </c>
      <c r="D46" s="5" t="s">
        <v>11</v>
      </c>
      <c r="E46" s="5" t="s">
        <v>256</v>
      </c>
      <c r="F46" s="8" t="s">
        <v>257</v>
      </c>
      <c r="G46" s="1">
        <v>2.59</v>
      </c>
      <c r="H46" s="5">
        <v>1</v>
      </c>
      <c r="I46" s="1">
        <f t="shared" si="2"/>
        <v>2.59</v>
      </c>
      <c r="J46" t="s">
        <v>258</v>
      </c>
      <c r="K46" t="s">
        <v>259</v>
      </c>
    </row>
    <row r="47" spans="1:11" x14ac:dyDescent="0.25">
      <c r="A47" s="5" t="s">
        <v>260</v>
      </c>
      <c r="B47" t="s">
        <v>260</v>
      </c>
      <c r="C47" s="5" t="s">
        <v>261</v>
      </c>
      <c r="D47" s="5" t="s">
        <v>11</v>
      </c>
      <c r="E47" s="5" t="s">
        <v>263</v>
      </c>
      <c r="F47" s="8" t="s">
        <v>262</v>
      </c>
      <c r="G47" s="1">
        <v>0.55700000000000005</v>
      </c>
      <c r="H47" s="5">
        <v>1</v>
      </c>
      <c r="I47" s="1">
        <f t="shared" si="2"/>
        <v>0.55700000000000005</v>
      </c>
      <c r="J47" s="11" t="s">
        <v>265</v>
      </c>
      <c r="K47" t="s">
        <v>264</v>
      </c>
    </row>
    <row r="48" spans="1:11" x14ac:dyDescent="0.25">
      <c r="A48" s="5" t="s">
        <v>266</v>
      </c>
      <c r="B48" t="s">
        <v>266</v>
      </c>
      <c r="C48" s="5" t="s">
        <v>267</v>
      </c>
      <c r="D48" s="5" t="s">
        <v>11</v>
      </c>
      <c r="E48" s="5" t="s">
        <v>268</v>
      </c>
      <c r="F48" s="8" t="s">
        <v>269</v>
      </c>
      <c r="G48" s="1">
        <v>0.38100000000000001</v>
      </c>
      <c r="H48" s="5">
        <v>1</v>
      </c>
      <c r="I48" s="1">
        <f t="shared" si="2"/>
        <v>0.38100000000000001</v>
      </c>
      <c r="J48" t="s">
        <v>270</v>
      </c>
      <c r="K48" t="s">
        <v>271</v>
      </c>
    </row>
    <row r="49" spans="1:11" x14ac:dyDescent="0.25">
      <c r="A49" s="5" t="s">
        <v>272</v>
      </c>
      <c r="B49" t="s">
        <v>272</v>
      </c>
      <c r="C49" s="5" t="s">
        <v>273</v>
      </c>
      <c r="D49" s="5" t="s">
        <v>11</v>
      </c>
      <c r="E49" s="5" t="s">
        <v>274</v>
      </c>
      <c r="F49" s="8" t="s">
        <v>275</v>
      </c>
      <c r="G49" s="1">
        <v>0.42499999999999999</v>
      </c>
      <c r="H49" s="5">
        <v>1</v>
      </c>
      <c r="I49" s="1">
        <f t="shared" si="2"/>
        <v>0.42499999999999999</v>
      </c>
      <c r="K49" t="s">
        <v>276</v>
      </c>
    </row>
    <row r="50" spans="1:11" x14ac:dyDescent="0.25">
      <c r="A50" s="5" t="s">
        <v>277</v>
      </c>
      <c r="B50" t="s">
        <v>277</v>
      </c>
      <c r="C50" s="5" t="s">
        <v>278</v>
      </c>
      <c r="D50" s="5" t="s">
        <v>11</v>
      </c>
      <c r="E50" s="5" t="s">
        <v>279</v>
      </c>
      <c r="F50" s="8" t="s">
        <v>280</v>
      </c>
      <c r="G50" s="1">
        <v>0.748</v>
      </c>
      <c r="H50" s="5">
        <v>1</v>
      </c>
      <c r="I50" s="1">
        <f t="shared" si="2"/>
        <v>0.748</v>
      </c>
      <c r="K50" t="s">
        <v>281</v>
      </c>
    </row>
    <row r="51" spans="1:11" x14ac:dyDescent="0.25">
      <c r="A51" s="5" t="s">
        <v>282</v>
      </c>
      <c r="B51" t="s">
        <v>282</v>
      </c>
      <c r="C51" s="5" t="s">
        <v>284</v>
      </c>
      <c r="D51" s="5" t="s">
        <v>11</v>
      </c>
      <c r="E51" s="5" t="s">
        <v>283</v>
      </c>
      <c r="F51" s="8" t="s">
        <v>285</v>
      </c>
      <c r="G51" s="1">
        <v>0.20499999999999999</v>
      </c>
      <c r="H51" s="5">
        <v>3</v>
      </c>
      <c r="I51" s="1">
        <f t="shared" si="2"/>
        <v>0.61499999999999999</v>
      </c>
      <c r="J51" t="s">
        <v>286</v>
      </c>
      <c r="K51" t="s">
        <v>287</v>
      </c>
    </row>
    <row r="52" spans="1:11" x14ac:dyDescent="0.25">
      <c r="A52" s="5" t="s">
        <v>289</v>
      </c>
      <c r="B52" t="s">
        <v>289</v>
      </c>
      <c r="C52" s="5" t="s">
        <v>290</v>
      </c>
      <c r="D52" s="5" t="s">
        <v>11</v>
      </c>
      <c r="E52" s="5" t="s">
        <v>291</v>
      </c>
      <c r="F52" s="8" t="s">
        <v>292</v>
      </c>
      <c r="G52" s="1">
        <v>0.64500000000000002</v>
      </c>
      <c r="H52" s="5">
        <v>1</v>
      </c>
      <c r="I52" s="1">
        <f t="shared" si="2"/>
        <v>0.64500000000000002</v>
      </c>
      <c r="K52" t="s">
        <v>293</v>
      </c>
    </row>
    <row r="53" spans="1:11" x14ac:dyDescent="0.25">
      <c r="A53" s="5" t="s">
        <v>296</v>
      </c>
      <c r="B53" t="s">
        <v>296</v>
      </c>
      <c r="C53" s="5" t="s">
        <v>297</v>
      </c>
      <c r="D53" s="5" t="s">
        <v>11</v>
      </c>
      <c r="E53" s="5" t="s">
        <v>298</v>
      </c>
      <c r="F53" s="8" t="s">
        <v>299</v>
      </c>
      <c r="G53" s="1">
        <v>0.27900000000000003</v>
      </c>
      <c r="H53" s="5">
        <v>1</v>
      </c>
      <c r="I53" s="1">
        <f t="shared" si="2"/>
        <v>0.27900000000000003</v>
      </c>
      <c r="J53" t="s">
        <v>300</v>
      </c>
      <c r="K53" t="s">
        <v>301</v>
      </c>
    </row>
    <row r="54" spans="1:11" x14ac:dyDescent="0.25">
      <c r="A54" s="5" t="s">
        <v>306</v>
      </c>
      <c r="B54" t="s">
        <v>306</v>
      </c>
      <c r="C54" s="5" t="s">
        <v>305</v>
      </c>
      <c r="D54" s="5" t="s">
        <v>11</v>
      </c>
      <c r="E54" s="5" t="s">
        <v>304</v>
      </c>
      <c r="F54" s="3" t="s">
        <v>303</v>
      </c>
      <c r="G54" s="1">
        <v>0.63</v>
      </c>
      <c r="H54" s="5">
        <v>1</v>
      </c>
      <c r="I54" s="1">
        <f t="shared" si="2"/>
        <v>0.63</v>
      </c>
      <c r="J54" s="11" t="s">
        <v>307</v>
      </c>
      <c r="K54" t="s">
        <v>308</v>
      </c>
    </row>
    <row r="58" spans="1:11" x14ac:dyDescent="0.25">
      <c r="H58" t="s">
        <v>99</v>
      </c>
      <c r="I58" s="1">
        <f>SUM(I2:I54)</f>
        <v>189.75400000000002</v>
      </c>
    </row>
  </sheetData>
  <hyperlinks>
    <hyperlink ref="F2" r:id="rId1" xr:uid="{00000000-0004-0000-0000-000000000000}"/>
    <hyperlink ref="F3" r:id="rId2" xr:uid="{00000000-0004-0000-0000-000001000000}"/>
    <hyperlink ref="F5" r:id="rId3" xr:uid="{00000000-0004-0000-0000-000002000000}"/>
    <hyperlink ref="F6" r:id="rId4" xr:uid="{00000000-0004-0000-0000-000003000000}"/>
    <hyperlink ref="F7" r:id="rId5" xr:uid="{00000000-0004-0000-0000-000004000000}"/>
    <hyperlink ref="F8" r:id="rId6" xr:uid="{00000000-0004-0000-0000-000005000000}"/>
    <hyperlink ref="F9" r:id="rId7" xr:uid="{00000000-0004-0000-0000-000006000000}"/>
    <hyperlink ref="F10" r:id="rId8" xr:uid="{00000000-0004-0000-0000-000007000000}"/>
    <hyperlink ref="F4" r:id="rId9" xr:uid="{00000000-0004-0000-0000-000008000000}"/>
    <hyperlink ref="F12" r:id="rId10" xr:uid="{00000000-0004-0000-0000-000009000000}"/>
    <hyperlink ref="F13" r:id="rId11" xr:uid="{00000000-0004-0000-0000-00000A000000}"/>
    <hyperlink ref="F14" r:id="rId12" xr:uid="{00000000-0004-0000-0000-00000B000000}"/>
    <hyperlink ref="F11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75087924-B941-48F1-8EE4-D33F960FDCA8}"/>
    <hyperlink ref="F19" r:id="rId18" xr:uid="{EFC77B63-D60C-40CD-A2FA-E2E6EE5EECF6}"/>
    <hyperlink ref="F20" r:id="rId19" xr:uid="{F148C9FE-3804-4890-B728-F29C6846A54A}"/>
    <hyperlink ref="F21" r:id="rId20" xr:uid="{78AC4E02-E868-4D93-8C58-73A3533A22DF}"/>
    <hyperlink ref="F22" r:id="rId21" xr:uid="{F317A12C-22ED-4E59-8055-5603DFF4F3A4}"/>
    <hyperlink ref="F23" r:id="rId22" xr:uid="{94BF1A75-B76C-480F-A57B-228241412CB7}"/>
    <hyperlink ref="F25" r:id="rId23" xr:uid="{478A655F-82D7-4580-8D48-1CBCF0B55603}"/>
    <hyperlink ref="F26" r:id="rId24" xr:uid="{1DA094B6-CDB3-4A47-9BDE-6FDC9760B514}"/>
    <hyperlink ref="F24" r:id="rId25" xr:uid="{509C401D-323E-49C9-9886-1BC95AF21AC7}"/>
    <hyperlink ref="F27" r:id="rId26" xr:uid="{157E44A1-2538-453E-8C5F-2C26E5F170A6}"/>
    <hyperlink ref="F29" r:id="rId27" xr:uid="{984C65AA-262A-4B3D-A968-AAC25962E4FB}"/>
    <hyperlink ref="F30" r:id="rId28" xr:uid="{5C812926-F41D-49F6-85EA-C81FBEDCB016}"/>
    <hyperlink ref="F31" r:id="rId29" display="https://au.rs-online.com/web/p/pcb-headers/7521797p?cm_mmc=AU-PPC-DS3A-_-google-_-3_AU_EN_Connectors_PCB+Headers_JST_Phrase-_-JST+-+7521797P+-+SM04B-GHS-TB(LF)(SN)-_-sm04b+ghs+tb+lf+sn&amp;matchtype=p&amp;aud-828197004210:kwd-349737151659&amp;gclid=EAIaIQobChMI1ITwjq7-9wIVFBwrCh09SQ1AEAAYAiAAEgIOBfD_BwE&amp;gclsrc=aw.ds" xr:uid="{C6234683-4A09-448B-9C8B-347EABD65C1E}"/>
    <hyperlink ref="F32" r:id="rId30" xr:uid="{6A5D1DBF-E227-4462-B6BB-9C85C4C4EA84}"/>
    <hyperlink ref="F33" r:id="rId31" display="https://au.rs-online.com/web/p/pcb-headers/7521807p?cm_mmc=AU-PPC-DS3A-_-google-_-3_AU_EN_Connectors_PCB+Headers_JST_Phrase-_-JST+-+7521807P+-+SM05B-GHS-TB(LF)(SN)-_-sm05b+ghs+tb+lf+sn&amp;matchtype=p&amp;aud-821594433763:kwd-383463479017&amp;gclid=EAIaIQobChMI7JqB-rP-9wIVtZNmAh2j4w0kEAAYAyAAEgJjvvD_BwE&amp;gclsrc=aw.ds" xr:uid="{0455689E-0950-4486-A42C-F3E70F857B86}"/>
    <hyperlink ref="F34" r:id="rId32" xr:uid="{BF13BCB1-8E14-46F9-8C83-119BFCF900FF}"/>
    <hyperlink ref="F35" r:id="rId33" xr:uid="{7CB87A53-75B9-4960-8FD2-800AA8E5E7FD}"/>
    <hyperlink ref="F36" r:id="rId34" xr:uid="{BA70D762-F28B-412B-AEE1-91F8112C4B72}"/>
    <hyperlink ref="F37" r:id="rId35" xr:uid="{24F17F1E-CBD1-40F2-86DA-43E7B51AAC71}"/>
    <hyperlink ref="F38" r:id="rId36" xr:uid="{DA37B415-43A3-4DBD-91A1-E01A8AAB23E1}"/>
    <hyperlink ref="F39" r:id="rId37" xr:uid="{7DCB2299-BFCD-4DD9-A544-CC01AFDA1396}"/>
    <hyperlink ref="F40" r:id="rId38" xr:uid="{2C0F80EE-79B1-4BEA-870A-C94F3CD5E574}"/>
    <hyperlink ref="F41" r:id="rId39" xr:uid="{7B9B58F8-D975-4DB2-8EF6-82AF1885DAAE}"/>
    <hyperlink ref="F42" r:id="rId40" xr:uid="{7B5688C5-1F32-41F9-9686-FF936C5A9C03}"/>
    <hyperlink ref="F43" r:id="rId41" xr:uid="{3BD5F1B8-6B60-4FDC-A40B-B32B72843B13}"/>
    <hyperlink ref="F44" r:id="rId42" xr:uid="{F00B6224-2A5B-4ECB-88BF-0CDDBD5A919C}"/>
    <hyperlink ref="F45" r:id="rId43" xr:uid="{637E4CFA-029B-4883-955C-E8A3613B2A63}"/>
    <hyperlink ref="F46" r:id="rId44" xr:uid="{7E7397C0-1C43-4E20-844E-A7EF731EB050}"/>
    <hyperlink ref="F47" r:id="rId45" xr:uid="{A3F1F960-AA4B-4FED-9E54-216A3590FD2A}"/>
    <hyperlink ref="F48" r:id="rId46" xr:uid="{C3174257-2AA3-40CC-8B15-470377789774}"/>
    <hyperlink ref="F49" r:id="rId47" xr:uid="{86DAB05A-FF56-4B24-B4E5-B8BFF2C911EA}"/>
    <hyperlink ref="F50" r:id="rId48" xr:uid="{E4B9E55B-F213-43E1-AFD4-9707F83D7D7B}"/>
    <hyperlink ref="F51" r:id="rId49" xr:uid="{1E357279-FA9D-4E9C-81CF-BADB508F0D27}"/>
    <hyperlink ref="F52" r:id="rId50" xr:uid="{0F20C33F-1F71-4251-BD6D-3A8A2FE106B1}"/>
    <hyperlink ref="F53" r:id="rId51" xr:uid="{D8157258-11D2-478B-A2DB-EF3401407066}"/>
    <hyperlink ref="F54" r:id="rId52" xr:uid="{F0941E7C-593A-4889-BCBE-F3CAD2E8B030}"/>
    <hyperlink ref="F28" r:id="rId53" xr:uid="{26E98C2A-8040-46AA-84B0-08FFEE23E220}"/>
  </hyperlinks>
  <pageMargins left="0.7" right="0.7" top="0.75" bottom="0.75" header="0.3" footer="0.3"/>
  <pageSetup paperSize="9" orientation="portrait" r:id="rId5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68B54-AC1D-4D2A-89A9-1E18E78AAC66}">
  <dimension ref="A1:K53"/>
  <sheetViews>
    <sheetView topLeftCell="A9" zoomScale="70" zoomScaleNormal="70" workbookViewId="0">
      <selection sqref="A1:K53"/>
    </sheetView>
  </sheetViews>
  <sheetFormatPr defaultRowHeight="15" x14ac:dyDescent="0.25"/>
  <cols>
    <col min="1" max="1" width="17.85546875" customWidth="1"/>
    <col min="2" max="2" width="23.5703125" customWidth="1"/>
    <col min="3" max="3" width="44.5703125" customWidth="1"/>
    <col min="4" max="4" width="11.7109375" customWidth="1"/>
    <col min="5" max="5" width="24" customWidth="1"/>
    <col min="6" max="6" width="36.140625" customWidth="1"/>
    <col min="7" max="7" width="9.42578125" bestFit="1" customWidth="1"/>
    <col min="8" max="8" width="8.7109375" bestFit="1" customWidth="1"/>
    <col min="9" max="9" width="8.42578125" bestFit="1" customWidth="1"/>
    <col min="10" max="10" width="72.28515625" bestFit="1" customWidth="1"/>
    <col min="11" max="11" width="16.855468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4</v>
      </c>
      <c r="G1" t="s">
        <v>5</v>
      </c>
      <c r="H1" t="s">
        <v>6</v>
      </c>
      <c r="I1" t="s">
        <v>7</v>
      </c>
      <c r="J1" t="s">
        <v>14</v>
      </c>
      <c r="K1" t="s">
        <v>36</v>
      </c>
    </row>
    <row r="2" spans="1:11" x14ac:dyDescent="0.25">
      <c r="A2" t="s">
        <v>8</v>
      </c>
      <c r="B2" t="s">
        <v>8</v>
      </c>
      <c r="C2" t="s">
        <v>13</v>
      </c>
      <c r="D2" t="s">
        <v>11</v>
      </c>
      <c r="E2" t="s">
        <v>10</v>
      </c>
      <c r="F2" s="3" t="s">
        <v>12</v>
      </c>
      <c r="G2" s="9">
        <v>31.48</v>
      </c>
      <c r="H2">
        <v>1</v>
      </c>
      <c r="I2" s="1">
        <f>G2*H2</f>
        <v>31.48</v>
      </c>
      <c r="J2" s="11" t="s">
        <v>105</v>
      </c>
      <c r="K2" t="s">
        <v>38</v>
      </c>
    </row>
    <row r="3" spans="1:11" x14ac:dyDescent="0.25">
      <c r="A3" t="s">
        <v>100</v>
      </c>
      <c r="B3" t="s">
        <v>100</v>
      </c>
      <c r="C3" s="2" t="s">
        <v>101</v>
      </c>
      <c r="D3" t="s">
        <v>11</v>
      </c>
      <c r="E3" s="2" t="s">
        <v>103</v>
      </c>
      <c r="F3" s="3" t="s">
        <v>104</v>
      </c>
      <c r="G3" s="9">
        <v>1.77</v>
      </c>
      <c r="H3">
        <v>1</v>
      </c>
      <c r="I3" s="1">
        <f t="shared" ref="I3:I53" si="0">G3*H3</f>
        <v>1.77</v>
      </c>
      <c r="K3" t="s">
        <v>102</v>
      </c>
    </row>
    <row r="4" spans="1:11" x14ac:dyDescent="0.25">
      <c r="A4" t="s">
        <v>339</v>
      </c>
      <c r="B4" t="s">
        <v>339</v>
      </c>
      <c r="C4" s="14" t="s">
        <v>340</v>
      </c>
      <c r="D4" t="s">
        <v>11</v>
      </c>
      <c r="E4" t="s">
        <v>341</v>
      </c>
      <c r="F4" s="3" t="s">
        <v>342</v>
      </c>
      <c r="G4" s="9">
        <v>9.66</v>
      </c>
      <c r="H4">
        <v>1</v>
      </c>
      <c r="I4" s="1">
        <f t="shared" si="0"/>
        <v>9.66</v>
      </c>
      <c r="K4" t="s">
        <v>40</v>
      </c>
    </row>
    <row r="5" spans="1:11" x14ac:dyDescent="0.25">
      <c r="A5" t="s">
        <v>190</v>
      </c>
      <c r="B5" t="s">
        <v>191</v>
      </c>
      <c r="C5" t="s">
        <v>192</v>
      </c>
      <c r="D5" t="s">
        <v>118</v>
      </c>
      <c r="E5" t="s">
        <v>193</v>
      </c>
      <c r="F5" s="3" t="s">
        <v>194</v>
      </c>
      <c r="G5" s="9">
        <v>1.121</v>
      </c>
      <c r="H5">
        <v>1</v>
      </c>
      <c r="I5" s="1">
        <f t="shared" si="0"/>
        <v>1.121</v>
      </c>
      <c r="J5" s="11" t="s">
        <v>195</v>
      </c>
      <c r="K5" t="s">
        <v>196</v>
      </c>
    </row>
    <row r="6" spans="1:11" x14ac:dyDescent="0.25">
      <c r="A6" s="2" t="s">
        <v>15</v>
      </c>
      <c r="B6" t="s">
        <v>15</v>
      </c>
      <c r="C6" t="s">
        <v>18</v>
      </c>
      <c r="D6" t="s">
        <v>11</v>
      </c>
      <c r="E6" t="s">
        <v>17</v>
      </c>
      <c r="F6" s="3" t="s">
        <v>16</v>
      </c>
      <c r="G6" s="9">
        <v>1.07</v>
      </c>
      <c r="H6">
        <v>1</v>
      </c>
      <c r="I6" s="1">
        <f t="shared" si="0"/>
        <v>1.07</v>
      </c>
      <c r="K6" t="s">
        <v>37</v>
      </c>
    </row>
    <row r="7" spans="1:11" x14ac:dyDescent="0.25">
      <c r="A7" s="15" t="s">
        <v>20</v>
      </c>
      <c r="B7" s="15" t="s">
        <v>20</v>
      </c>
      <c r="C7" s="15" t="s">
        <v>21</v>
      </c>
      <c r="D7" s="15" t="s">
        <v>11</v>
      </c>
      <c r="E7" s="15" t="s">
        <v>19</v>
      </c>
      <c r="F7" s="16" t="s">
        <v>22</v>
      </c>
      <c r="G7" s="17">
        <v>1.08</v>
      </c>
      <c r="H7" s="15">
        <v>9</v>
      </c>
      <c r="I7" s="18">
        <f t="shared" si="0"/>
        <v>9.7200000000000006</v>
      </c>
      <c r="J7" s="15" t="s">
        <v>135</v>
      </c>
      <c r="K7" t="s">
        <v>294</v>
      </c>
    </row>
    <row r="8" spans="1:11" x14ac:dyDescent="0.25">
      <c r="A8" s="5" t="s">
        <v>23</v>
      </c>
      <c r="B8" s="5" t="s">
        <v>23</v>
      </c>
      <c r="C8" s="5" t="s">
        <v>24</v>
      </c>
      <c r="D8" s="5" t="s">
        <v>11</v>
      </c>
      <c r="E8" s="5" t="s">
        <v>25</v>
      </c>
      <c r="F8" s="6" t="s">
        <v>26</v>
      </c>
      <c r="G8" s="10">
        <v>0.70399999999999996</v>
      </c>
      <c r="H8" s="5">
        <v>2</v>
      </c>
      <c r="I8" s="1">
        <f t="shared" si="0"/>
        <v>1.4079999999999999</v>
      </c>
      <c r="J8" s="5" t="s">
        <v>136</v>
      </c>
      <c r="K8" t="s">
        <v>41</v>
      </c>
    </row>
    <row r="9" spans="1:11" x14ac:dyDescent="0.25">
      <c r="A9" s="5" t="s">
        <v>27</v>
      </c>
      <c r="B9" s="7" t="s">
        <v>27</v>
      </c>
      <c r="C9" s="5" t="s">
        <v>28</v>
      </c>
      <c r="D9" s="5" t="s">
        <v>11</v>
      </c>
      <c r="E9" s="5" t="s">
        <v>29</v>
      </c>
      <c r="F9" s="6" t="s">
        <v>30</v>
      </c>
      <c r="G9" s="10">
        <v>0.51300000000000001</v>
      </c>
      <c r="H9" s="5">
        <v>12</v>
      </c>
      <c r="I9" s="1">
        <f t="shared" si="0"/>
        <v>6.1560000000000006</v>
      </c>
      <c r="J9" s="5" t="s">
        <v>137</v>
      </c>
      <c r="K9" t="s">
        <v>206</v>
      </c>
    </row>
    <row r="10" spans="1:11" x14ac:dyDescent="0.25">
      <c r="A10" s="5" t="s">
        <v>31</v>
      </c>
      <c r="B10" t="s">
        <v>31</v>
      </c>
      <c r="C10" s="5" t="s">
        <v>32</v>
      </c>
      <c r="D10" s="5" t="s">
        <v>11</v>
      </c>
      <c r="E10" s="5" t="s">
        <v>33</v>
      </c>
      <c r="F10" s="8" t="s">
        <v>34</v>
      </c>
      <c r="G10" s="9">
        <v>0.191</v>
      </c>
      <c r="H10" s="5">
        <v>17</v>
      </c>
      <c r="I10" s="1">
        <f t="shared" si="0"/>
        <v>3.2469999999999999</v>
      </c>
      <c r="J10" s="5" t="s">
        <v>288</v>
      </c>
      <c r="K10" t="s">
        <v>302</v>
      </c>
    </row>
    <row r="11" spans="1:11" x14ac:dyDescent="0.25">
      <c r="A11" s="5" t="s">
        <v>51</v>
      </c>
      <c r="B11" t="s">
        <v>51</v>
      </c>
      <c r="C11" s="5" t="s">
        <v>349</v>
      </c>
      <c r="D11" s="5" t="s">
        <v>11</v>
      </c>
      <c r="E11" s="5" t="s">
        <v>53</v>
      </c>
      <c r="F11" s="3" t="s">
        <v>50</v>
      </c>
      <c r="G11" s="1">
        <v>1.03</v>
      </c>
      <c r="H11" s="5">
        <v>2</v>
      </c>
      <c r="I11" s="1">
        <f t="shared" si="0"/>
        <v>2.06</v>
      </c>
      <c r="J11" s="12" t="s">
        <v>54</v>
      </c>
      <c r="K11" t="s">
        <v>88</v>
      </c>
    </row>
    <row r="12" spans="1:11" x14ac:dyDescent="0.25">
      <c r="A12" s="5" t="s">
        <v>313</v>
      </c>
      <c r="B12" t="s">
        <v>313</v>
      </c>
      <c r="C12" s="5" t="s">
        <v>314</v>
      </c>
      <c r="D12" s="5" t="s">
        <v>11</v>
      </c>
      <c r="E12" s="5" t="s">
        <v>315</v>
      </c>
      <c r="F12" s="8" t="s">
        <v>316</v>
      </c>
      <c r="G12" s="1">
        <v>0.57199999999999995</v>
      </c>
      <c r="H12" s="5">
        <v>1</v>
      </c>
      <c r="I12" s="1">
        <f t="shared" si="0"/>
        <v>0.57199999999999995</v>
      </c>
      <c r="J12" s="5"/>
      <c r="K12" t="s">
        <v>55</v>
      </c>
    </row>
    <row r="13" spans="1:11" x14ac:dyDescent="0.25">
      <c r="A13" s="5" t="s">
        <v>42</v>
      </c>
      <c r="B13" t="s">
        <v>42</v>
      </c>
      <c r="C13" s="5" t="s">
        <v>44</v>
      </c>
      <c r="D13" s="5" t="s">
        <v>11</v>
      </c>
      <c r="E13" s="5" t="s">
        <v>45</v>
      </c>
      <c r="F13" s="3" t="s">
        <v>43</v>
      </c>
      <c r="G13" s="1">
        <v>0.15</v>
      </c>
      <c r="H13" s="5">
        <v>6</v>
      </c>
      <c r="I13" s="1">
        <f t="shared" si="0"/>
        <v>0.89999999999999991</v>
      </c>
      <c r="J13" s="5" t="s">
        <v>138</v>
      </c>
      <c r="K13" t="s">
        <v>240</v>
      </c>
    </row>
    <row r="14" spans="1:11" x14ac:dyDescent="0.25">
      <c r="A14" s="5" t="s">
        <v>49</v>
      </c>
      <c r="B14" t="s">
        <v>49</v>
      </c>
      <c r="C14" s="5" t="s">
        <v>47</v>
      </c>
      <c r="D14" s="5" t="s">
        <v>11</v>
      </c>
      <c r="E14" s="5" t="s">
        <v>48</v>
      </c>
      <c r="F14" s="3" t="s">
        <v>46</v>
      </c>
      <c r="G14" s="1">
        <v>2.54</v>
      </c>
      <c r="H14" s="5">
        <v>3</v>
      </c>
      <c r="I14" s="1">
        <f t="shared" si="0"/>
        <v>7.62</v>
      </c>
      <c r="J14" s="5" t="s">
        <v>139</v>
      </c>
      <c r="K14" t="s">
        <v>184</v>
      </c>
    </row>
    <row r="15" spans="1:11" x14ac:dyDescent="0.25">
      <c r="A15" s="5" t="s">
        <v>57</v>
      </c>
      <c r="B15" t="s">
        <v>57</v>
      </c>
      <c r="C15" s="5" t="s">
        <v>58</v>
      </c>
      <c r="D15" s="5" t="s">
        <v>11</v>
      </c>
      <c r="E15" s="5" t="s">
        <v>59</v>
      </c>
      <c r="F15" s="3" t="s">
        <v>56</v>
      </c>
      <c r="G15" s="1">
        <v>1.66</v>
      </c>
      <c r="H15" s="5">
        <v>3</v>
      </c>
      <c r="I15" s="1">
        <f t="shared" si="0"/>
        <v>4.9799999999999995</v>
      </c>
      <c r="J15" s="5" t="s">
        <v>140</v>
      </c>
      <c r="K15" t="s">
        <v>295</v>
      </c>
    </row>
    <row r="16" spans="1:11" x14ac:dyDescent="0.25">
      <c r="A16" s="5" t="s">
        <v>63</v>
      </c>
      <c r="B16" t="s">
        <v>63</v>
      </c>
      <c r="C16" s="5" t="s">
        <v>64</v>
      </c>
      <c r="D16" s="5" t="s">
        <v>11</v>
      </c>
      <c r="E16" s="5" t="s">
        <v>65</v>
      </c>
      <c r="F16" s="3" t="s">
        <v>60</v>
      </c>
      <c r="G16" s="1">
        <v>2.93</v>
      </c>
      <c r="H16" s="5">
        <v>1</v>
      </c>
      <c r="I16" s="1">
        <f t="shared" si="0"/>
        <v>2.93</v>
      </c>
      <c r="J16" s="12" t="s">
        <v>62</v>
      </c>
      <c r="K16" t="s">
        <v>61</v>
      </c>
    </row>
    <row r="17" spans="1:11" x14ac:dyDescent="0.25">
      <c r="A17" s="5" t="s">
        <v>317</v>
      </c>
      <c r="B17" t="s">
        <v>317</v>
      </c>
      <c r="C17" s="5" t="s">
        <v>318</v>
      </c>
      <c r="D17" s="5" t="s">
        <v>11</v>
      </c>
      <c r="E17" s="5" t="s">
        <v>319</v>
      </c>
      <c r="F17" s="3" t="s">
        <v>320</v>
      </c>
      <c r="G17" s="1">
        <v>47.65</v>
      </c>
      <c r="H17" s="5">
        <v>1</v>
      </c>
      <c r="I17" s="1">
        <f t="shared" si="0"/>
        <v>47.65</v>
      </c>
      <c r="J17" s="15" t="s">
        <v>321</v>
      </c>
      <c r="K17" t="s">
        <v>71</v>
      </c>
    </row>
    <row r="18" spans="1:11" x14ac:dyDescent="0.25">
      <c r="A18" s="5" t="s">
        <v>334</v>
      </c>
      <c r="B18" t="s">
        <v>334</v>
      </c>
      <c r="C18" s="5" t="s">
        <v>335</v>
      </c>
      <c r="D18" s="5" t="s">
        <v>11</v>
      </c>
      <c r="E18" s="5" t="s">
        <v>336</v>
      </c>
      <c r="F18" s="8" t="s">
        <v>337</v>
      </c>
      <c r="G18" s="1">
        <v>58.64</v>
      </c>
      <c r="H18" s="5">
        <v>1</v>
      </c>
      <c r="I18" s="1">
        <f t="shared" si="0"/>
        <v>58.64</v>
      </c>
      <c r="J18" s="15" t="s">
        <v>338</v>
      </c>
      <c r="K18" t="s">
        <v>77</v>
      </c>
    </row>
    <row r="19" spans="1:11" x14ac:dyDescent="0.25">
      <c r="A19" s="5" t="s">
        <v>79</v>
      </c>
      <c r="B19" t="s">
        <v>79</v>
      </c>
      <c r="C19" s="5" t="s">
        <v>78</v>
      </c>
      <c r="D19" s="5" t="s">
        <v>11</v>
      </c>
      <c r="E19" s="5" t="s">
        <v>80</v>
      </c>
      <c r="F19" s="8" t="s">
        <v>81</v>
      </c>
      <c r="G19" s="1">
        <v>0.23499999999999999</v>
      </c>
      <c r="H19" s="5">
        <v>1</v>
      </c>
      <c r="I19" s="1">
        <f t="shared" si="0"/>
        <v>0.23499999999999999</v>
      </c>
      <c r="J19" t="s">
        <v>350</v>
      </c>
      <c r="K19" t="s">
        <v>82</v>
      </c>
    </row>
    <row r="20" spans="1:11" x14ac:dyDescent="0.25">
      <c r="A20" s="5" t="s">
        <v>83</v>
      </c>
      <c r="B20" t="s">
        <v>83</v>
      </c>
      <c r="C20" s="5" t="s">
        <v>84</v>
      </c>
      <c r="D20" s="5" t="s">
        <v>11</v>
      </c>
      <c r="E20" s="5" t="s">
        <v>86</v>
      </c>
      <c r="F20" s="8" t="s">
        <v>85</v>
      </c>
      <c r="G20" s="1">
        <v>30.9</v>
      </c>
      <c r="H20" s="5">
        <v>1</v>
      </c>
      <c r="I20" s="1">
        <f t="shared" si="0"/>
        <v>30.9</v>
      </c>
      <c r="K20" t="s">
        <v>87</v>
      </c>
    </row>
    <row r="21" spans="1:11" x14ac:dyDescent="0.25">
      <c r="A21" s="5" t="s">
        <v>322</v>
      </c>
      <c r="B21" t="s">
        <v>322</v>
      </c>
      <c r="C21" s="5" t="s">
        <v>323</v>
      </c>
      <c r="D21" s="5" t="s">
        <v>11</v>
      </c>
      <c r="E21" s="5" t="s">
        <v>324</v>
      </c>
      <c r="F21" s="8" t="s">
        <v>325</v>
      </c>
      <c r="G21" s="1">
        <v>0.71799999999999997</v>
      </c>
      <c r="H21" s="5">
        <v>2</v>
      </c>
      <c r="I21" s="1">
        <f t="shared" si="0"/>
        <v>1.4359999999999999</v>
      </c>
      <c r="K21" t="s">
        <v>185</v>
      </c>
    </row>
    <row r="22" spans="1:11" x14ac:dyDescent="0.25">
      <c r="A22" s="5" t="s">
        <v>94</v>
      </c>
      <c r="B22" t="s">
        <v>94</v>
      </c>
      <c r="C22" s="5" t="s">
        <v>95</v>
      </c>
      <c r="D22" s="5" t="s">
        <v>11</v>
      </c>
      <c r="E22" s="5" t="s">
        <v>97</v>
      </c>
      <c r="F22" s="3" t="s">
        <v>96</v>
      </c>
      <c r="G22" s="1">
        <v>0.76200000000000001</v>
      </c>
      <c r="H22" s="5">
        <v>1</v>
      </c>
      <c r="I22" s="1">
        <f t="shared" si="0"/>
        <v>0.76200000000000001</v>
      </c>
      <c r="K22" t="s">
        <v>98</v>
      </c>
    </row>
    <row r="23" spans="1:11" x14ac:dyDescent="0.25">
      <c r="A23" s="5" t="s">
        <v>109</v>
      </c>
      <c r="B23" t="s">
        <v>109</v>
      </c>
      <c r="C23" s="5" t="s">
        <v>110</v>
      </c>
      <c r="D23" s="5" t="s">
        <v>11</v>
      </c>
      <c r="E23" s="5" t="s">
        <v>111</v>
      </c>
      <c r="F23" s="8" t="s">
        <v>112</v>
      </c>
      <c r="G23" s="1">
        <v>0.32300000000000001</v>
      </c>
      <c r="H23" s="5">
        <v>8</v>
      </c>
      <c r="I23" s="1">
        <f t="shared" si="0"/>
        <v>2.5840000000000001</v>
      </c>
      <c r="J23" t="s">
        <v>143</v>
      </c>
      <c r="K23" t="s">
        <v>197</v>
      </c>
    </row>
    <row r="24" spans="1:11" x14ac:dyDescent="0.25">
      <c r="A24" s="5" t="s">
        <v>125</v>
      </c>
      <c r="B24" t="s">
        <v>125</v>
      </c>
      <c r="C24" s="5" t="s">
        <v>126</v>
      </c>
      <c r="D24" s="5" t="s">
        <v>11</v>
      </c>
      <c r="E24" s="5" t="s">
        <v>127</v>
      </c>
      <c r="F24" s="8" t="s">
        <v>128</v>
      </c>
      <c r="G24" s="1">
        <v>1.61</v>
      </c>
      <c r="H24" s="5">
        <v>1</v>
      </c>
      <c r="I24" s="1">
        <f t="shared" si="0"/>
        <v>1.61</v>
      </c>
      <c r="K24" t="s">
        <v>129</v>
      </c>
    </row>
    <row r="25" spans="1:11" x14ac:dyDescent="0.25">
      <c r="A25" s="5" t="s">
        <v>114</v>
      </c>
      <c r="B25" t="s">
        <v>115</v>
      </c>
      <c r="C25" s="5" t="s">
        <v>116</v>
      </c>
      <c r="D25" s="5" t="s">
        <v>118</v>
      </c>
      <c r="E25" s="5" t="s">
        <v>117</v>
      </c>
      <c r="F25" s="3" t="s">
        <v>113</v>
      </c>
      <c r="G25" s="1">
        <v>1.302</v>
      </c>
      <c r="H25" s="5">
        <v>1</v>
      </c>
      <c r="I25" s="1">
        <f t="shared" si="0"/>
        <v>1.302</v>
      </c>
      <c r="K25" t="s">
        <v>124</v>
      </c>
    </row>
    <row r="26" spans="1:11" x14ac:dyDescent="0.25">
      <c r="A26" s="5" t="s">
        <v>119</v>
      </c>
      <c r="B26" t="s">
        <v>119</v>
      </c>
      <c r="C26" s="5" t="s">
        <v>120</v>
      </c>
      <c r="D26" s="5" t="s">
        <v>11</v>
      </c>
      <c r="E26" s="5" t="s">
        <v>121</v>
      </c>
      <c r="F26" s="8" t="s">
        <v>122</v>
      </c>
      <c r="G26" s="1">
        <v>0.41</v>
      </c>
      <c r="H26" s="5">
        <v>2</v>
      </c>
      <c r="I26" s="1">
        <f t="shared" si="0"/>
        <v>0.82</v>
      </c>
      <c r="J26" t="s">
        <v>141</v>
      </c>
      <c r="K26" t="s">
        <v>123</v>
      </c>
    </row>
    <row r="27" spans="1:11" x14ac:dyDescent="0.25">
      <c r="A27" s="5" t="s">
        <v>131</v>
      </c>
      <c r="B27" t="s">
        <v>131</v>
      </c>
      <c r="C27" s="5" t="s">
        <v>130</v>
      </c>
      <c r="D27" s="5" t="s">
        <v>11</v>
      </c>
      <c r="E27" s="5" t="s">
        <v>132</v>
      </c>
      <c r="F27" s="3" t="s">
        <v>133</v>
      </c>
      <c r="G27" s="1">
        <v>3.01</v>
      </c>
      <c r="H27" s="5">
        <v>2</v>
      </c>
      <c r="I27" s="1">
        <f t="shared" si="0"/>
        <v>6.02</v>
      </c>
      <c r="J27" t="s">
        <v>142</v>
      </c>
      <c r="K27" t="s">
        <v>134</v>
      </c>
    </row>
    <row r="28" spans="1:11" x14ac:dyDescent="0.25">
      <c r="A28" s="5" t="s">
        <v>144</v>
      </c>
      <c r="B28" t="s">
        <v>144</v>
      </c>
      <c r="C28" s="5" t="s">
        <v>145</v>
      </c>
      <c r="D28" s="5" t="s">
        <v>11</v>
      </c>
      <c r="E28" s="5" t="s">
        <v>146</v>
      </c>
      <c r="F28" s="3" t="s">
        <v>147</v>
      </c>
      <c r="G28" s="1">
        <v>0.48399999999999999</v>
      </c>
      <c r="H28" s="5">
        <v>5</v>
      </c>
      <c r="I28" s="1">
        <f t="shared" si="0"/>
        <v>2.42</v>
      </c>
      <c r="J28" t="s">
        <v>198</v>
      </c>
      <c r="K28" t="s">
        <v>148</v>
      </c>
    </row>
    <row r="29" spans="1:11" x14ac:dyDescent="0.25">
      <c r="A29" s="5" t="s">
        <v>149</v>
      </c>
      <c r="B29" t="s">
        <v>149</v>
      </c>
      <c r="C29" s="5" t="s">
        <v>150</v>
      </c>
      <c r="D29" s="5" t="s">
        <v>11</v>
      </c>
      <c r="E29" s="5" t="s">
        <v>151</v>
      </c>
      <c r="F29" s="3" t="s">
        <v>152</v>
      </c>
      <c r="G29" s="1">
        <v>2.1</v>
      </c>
      <c r="H29" s="5">
        <v>1</v>
      </c>
      <c r="I29" s="1">
        <f t="shared" si="0"/>
        <v>2.1</v>
      </c>
      <c r="J29" s="11" t="s">
        <v>153</v>
      </c>
      <c r="K29" t="s">
        <v>155</v>
      </c>
    </row>
    <row r="30" spans="1:11" x14ac:dyDescent="0.25">
      <c r="A30" s="5" t="s">
        <v>156</v>
      </c>
      <c r="B30" t="s">
        <v>157</v>
      </c>
      <c r="C30" s="5" t="s">
        <v>116</v>
      </c>
      <c r="D30" s="5" t="s">
        <v>118</v>
      </c>
      <c r="E30" s="5" t="s">
        <v>158</v>
      </c>
      <c r="F30" s="8" t="s">
        <v>159</v>
      </c>
      <c r="G30" s="1">
        <v>1.1180000000000001</v>
      </c>
      <c r="H30" s="5">
        <v>1</v>
      </c>
      <c r="I30" s="1">
        <f t="shared" si="0"/>
        <v>1.1180000000000001</v>
      </c>
      <c r="J30" s="11" t="s">
        <v>160</v>
      </c>
      <c r="K30" t="s">
        <v>161</v>
      </c>
    </row>
    <row r="31" spans="1:11" x14ac:dyDescent="0.25">
      <c r="A31" s="5" t="s">
        <v>162</v>
      </c>
      <c r="B31" t="s">
        <v>162</v>
      </c>
      <c r="C31" s="5" t="s">
        <v>110</v>
      </c>
      <c r="D31" s="5" t="s">
        <v>11</v>
      </c>
      <c r="E31" s="5" t="s">
        <v>163</v>
      </c>
      <c r="F31" s="8" t="s">
        <v>164</v>
      </c>
      <c r="G31" s="1">
        <v>0.32300000000000001</v>
      </c>
      <c r="H31" s="5">
        <v>1</v>
      </c>
      <c r="I31" s="1">
        <f t="shared" si="0"/>
        <v>0.32300000000000001</v>
      </c>
      <c r="J31" t="s">
        <v>165</v>
      </c>
      <c r="K31" t="s">
        <v>166</v>
      </c>
    </row>
    <row r="32" spans="1:11" x14ac:dyDescent="0.25">
      <c r="A32" s="5" t="s">
        <v>167</v>
      </c>
      <c r="B32" t="s">
        <v>168</v>
      </c>
      <c r="C32" s="5" t="s">
        <v>116</v>
      </c>
      <c r="D32" s="5" t="s">
        <v>118</v>
      </c>
      <c r="E32" s="5" t="s">
        <v>169</v>
      </c>
      <c r="F32" s="8" t="s">
        <v>170</v>
      </c>
      <c r="G32" s="1">
        <v>1.206</v>
      </c>
      <c r="H32" s="5">
        <v>1</v>
      </c>
      <c r="I32" s="1">
        <f t="shared" si="0"/>
        <v>1.206</v>
      </c>
      <c r="J32" s="11" t="s">
        <v>171</v>
      </c>
      <c r="K32" t="s">
        <v>172</v>
      </c>
    </row>
    <row r="33" spans="1:11" x14ac:dyDescent="0.25">
      <c r="A33" s="5" t="s">
        <v>173</v>
      </c>
      <c r="B33" t="s">
        <v>173</v>
      </c>
      <c r="C33" s="5" t="s">
        <v>176</v>
      </c>
      <c r="D33" s="5" t="s">
        <v>175</v>
      </c>
      <c r="E33" s="5" t="s">
        <v>174</v>
      </c>
      <c r="F33" s="8" t="s">
        <v>177</v>
      </c>
      <c r="G33" s="1">
        <v>0.43</v>
      </c>
      <c r="H33" s="5">
        <v>1</v>
      </c>
      <c r="I33" s="1">
        <f t="shared" si="0"/>
        <v>0.43</v>
      </c>
      <c r="K33" t="s">
        <v>178</v>
      </c>
    </row>
    <row r="34" spans="1:11" x14ac:dyDescent="0.25">
      <c r="A34" s="5" t="s">
        <v>179</v>
      </c>
      <c r="B34" t="s">
        <v>179</v>
      </c>
      <c r="C34" s="5" t="s">
        <v>180</v>
      </c>
      <c r="D34" s="5" t="s">
        <v>11</v>
      </c>
      <c r="E34" s="5" t="s">
        <v>181</v>
      </c>
      <c r="F34" s="8" t="s">
        <v>182</v>
      </c>
      <c r="G34" s="1">
        <v>1.01</v>
      </c>
      <c r="H34" s="5">
        <v>1</v>
      </c>
      <c r="I34" s="1">
        <f t="shared" si="0"/>
        <v>1.01</v>
      </c>
      <c r="K34" t="s">
        <v>183</v>
      </c>
    </row>
    <row r="35" spans="1:11" x14ac:dyDescent="0.25">
      <c r="A35" s="5" t="s">
        <v>186</v>
      </c>
      <c r="B35" t="s">
        <v>186</v>
      </c>
      <c r="C35" s="5" t="s">
        <v>187</v>
      </c>
      <c r="D35" s="5" t="s">
        <v>11</v>
      </c>
      <c r="E35" s="5" t="s">
        <v>188</v>
      </c>
      <c r="F35" s="8" t="s">
        <v>189</v>
      </c>
      <c r="G35" s="1">
        <v>0.96799999999999997</v>
      </c>
      <c r="H35" s="5">
        <v>3</v>
      </c>
      <c r="I35" s="1">
        <f t="shared" si="0"/>
        <v>2.9039999999999999</v>
      </c>
      <c r="J35" t="s">
        <v>204</v>
      </c>
      <c r="K35" t="s">
        <v>199</v>
      </c>
    </row>
    <row r="36" spans="1:11" x14ac:dyDescent="0.25">
      <c r="A36" s="5" t="s">
        <v>200</v>
      </c>
      <c r="B36" t="s">
        <v>200</v>
      </c>
      <c r="C36" s="5" t="s">
        <v>110</v>
      </c>
      <c r="D36" s="5" t="s">
        <v>11</v>
      </c>
      <c r="E36" s="5" t="s">
        <v>201</v>
      </c>
      <c r="F36" s="8" t="s">
        <v>202</v>
      </c>
      <c r="G36" s="1">
        <v>0.32300000000000001</v>
      </c>
      <c r="H36" s="5">
        <v>1</v>
      </c>
      <c r="I36" s="1">
        <f t="shared" si="0"/>
        <v>0.32300000000000001</v>
      </c>
      <c r="J36" t="s">
        <v>203</v>
      </c>
      <c r="K36" t="s">
        <v>205</v>
      </c>
    </row>
    <row r="37" spans="1:11" x14ac:dyDescent="0.25">
      <c r="A37" s="5" t="s">
        <v>209</v>
      </c>
      <c r="B37" t="s">
        <v>209</v>
      </c>
      <c r="C37" s="5" t="s">
        <v>210</v>
      </c>
      <c r="D37" s="5" t="s">
        <v>11</v>
      </c>
      <c r="E37" s="5" t="s">
        <v>208</v>
      </c>
      <c r="F37" s="3" t="s">
        <v>207</v>
      </c>
      <c r="G37" s="1">
        <v>0.77700000000000002</v>
      </c>
      <c r="H37" s="5">
        <v>1</v>
      </c>
      <c r="I37" s="1">
        <f t="shared" si="0"/>
        <v>0.77700000000000002</v>
      </c>
      <c r="J37" t="s">
        <v>211</v>
      </c>
      <c r="K37" t="s">
        <v>212</v>
      </c>
    </row>
    <row r="38" spans="1:11" x14ac:dyDescent="0.25">
      <c r="A38" s="5" t="s">
        <v>213</v>
      </c>
      <c r="B38" t="s">
        <v>213</v>
      </c>
      <c r="C38" s="5" t="s">
        <v>214</v>
      </c>
      <c r="D38" s="5" t="s">
        <v>11</v>
      </c>
      <c r="E38" s="5" t="s">
        <v>215</v>
      </c>
      <c r="F38" s="8" t="s">
        <v>216</v>
      </c>
      <c r="G38" s="1">
        <v>0.71799999999999997</v>
      </c>
      <c r="H38" s="5">
        <v>1</v>
      </c>
      <c r="I38" s="1">
        <f t="shared" si="0"/>
        <v>0.71799999999999997</v>
      </c>
      <c r="K38" t="s">
        <v>217</v>
      </c>
    </row>
    <row r="39" spans="1:11" x14ac:dyDescent="0.25">
      <c r="A39" s="5" t="s">
        <v>218</v>
      </c>
      <c r="B39" t="s">
        <v>218</v>
      </c>
      <c r="C39" s="5" t="s">
        <v>219</v>
      </c>
      <c r="D39" s="5" t="s">
        <v>11</v>
      </c>
      <c r="E39" s="5" t="s">
        <v>220</v>
      </c>
      <c r="F39" s="8" t="s">
        <v>221</v>
      </c>
      <c r="G39" s="1">
        <v>0.45400000000000001</v>
      </c>
      <c r="H39" s="5">
        <v>1</v>
      </c>
      <c r="I39" s="1">
        <f t="shared" si="0"/>
        <v>0.45400000000000001</v>
      </c>
      <c r="J39" t="s">
        <v>251</v>
      </c>
      <c r="K39" t="s">
        <v>227</v>
      </c>
    </row>
    <row r="40" spans="1:11" x14ac:dyDescent="0.25">
      <c r="A40" s="5" t="s">
        <v>222</v>
      </c>
      <c r="B40" t="s">
        <v>222</v>
      </c>
      <c r="C40" s="5" t="s">
        <v>223</v>
      </c>
      <c r="D40" s="5" t="s">
        <v>11</v>
      </c>
      <c r="E40" s="5" t="s">
        <v>224</v>
      </c>
      <c r="F40" s="8" t="s">
        <v>225</v>
      </c>
      <c r="G40" s="1">
        <v>1.19</v>
      </c>
      <c r="H40" s="5">
        <v>2</v>
      </c>
      <c r="I40" s="1">
        <f t="shared" si="0"/>
        <v>2.38</v>
      </c>
      <c r="J40" t="s">
        <v>226</v>
      </c>
      <c r="K40" t="s">
        <v>239</v>
      </c>
    </row>
    <row r="41" spans="1:11" x14ac:dyDescent="0.25">
      <c r="A41" s="15" t="s">
        <v>228</v>
      </c>
      <c r="B41" s="19" t="s">
        <v>228</v>
      </c>
      <c r="C41" s="15" t="s">
        <v>229</v>
      </c>
      <c r="D41" s="15" t="s">
        <v>11</v>
      </c>
      <c r="E41" s="15" t="s">
        <v>230</v>
      </c>
      <c r="F41" s="20" t="s">
        <v>231</v>
      </c>
      <c r="G41" s="18">
        <v>0.58599999999999997</v>
      </c>
      <c r="H41" s="15">
        <v>1</v>
      </c>
      <c r="I41" s="18">
        <f t="shared" si="0"/>
        <v>0.58599999999999997</v>
      </c>
      <c r="J41" s="19" t="s">
        <v>232</v>
      </c>
      <c r="K41" s="19" t="s">
        <v>246</v>
      </c>
    </row>
    <row r="42" spans="1:11" x14ac:dyDescent="0.25">
      <c r="A42" s="5" t="s">
        <v>233</v>
      </c>
      <c r="B42" t="s">
        <v>233</v>
      </c>
      <c r="C42" s="5" t="s">
        <v>234</v>
      </c>
      <c r="D42" s="5" t="s">
        <v>11</v>
      </c>
      <c r="E42" s="5" t="s">
        <v>235</v>
      </c>
      <c r="F42" s="8" t="s">
        <v>236</v>
      </c>
      <c r="G42" s="1">
        <v>0.92400000000000004</v>
      </c>
      <c r="H42" s="5">
        <v>1</v>
      </c>
      <c r="I42" s="1">
        <f t="shared" si="0"/>
        <v>0.92400000000000004</v>
      </c>
      <c r="J42" t="s">
        <v>237</v>
      </c>
      <c r="K42" t="s">
        <v>238</v>
      </c>
    </row>
    <row r="43" spans="1:11" x14ac:dyDescent="0.25">
      <c r="A43" s="5" t="s">
        <v>242</v>
      </c>
      <c r="B43" t="s">
        <v>242</v>
      </c>
      <c r="C43" s="5" t="s">
        <v>243</v>
      </c>
      <c r="D43" s="5" t="s">
        <v>11</v>
      </c>
      <c r="E43" s="5" t="s">
        <v>244</v>
      </c>
      <c r="F43" s="3" t="s">
        <v>241</v>
      </c>
      <c r="G43" s="1">
        <v>0.60099999999999998</v>
      </c>
      <c r="H43" s="5">
        <v>1</v>
      </c>
      <c r="I43" s="1">
        <f t="shared" si="0"/>
        <v>0.60099999999999998</v>
      </c>
      <c r="K43" t="s">
        <v>245</v>
      </c>
    </row>
    <row r="44" spans="1:11" x14ac:dyDescent="0.25">
      <c r="A44" s="5" t="s">
        <v>247</v>
      </c>
      <c r="B44" t="s">
        <v>247</v>
      </c>
      <c r="C44" s="5" t="s">
        <v>248</v>
      </c>
      <c r="D44" s="5" t="s">
        <v>11</v>
      </c>
      <c r="E44" s="5" t="s">
        <v>249</v>
      </c>
      <c r="F44" s="8" t="s">
        <v>250</v>
      </c>
      <c r="G44" s="1">
        <v>0.20499999999999999</v>
      </c>
      <c r="H44" s="5">
        <v>1</v>
      </c>
      <c r="I44" s="1">
        <f t="shared" si="0"/>
        <v>0.20499999999999999</v>
      </c>
      <c r="J44" t="s">
        <v>252</v>
      </c>
      <c r="K44" t="s">
        <v>253</v>
      </c>
    </row>
    <row r="45" spans="1:11" x14ac:dyDescent="0.25">
      <c r="A45" s="5" t="s">
        <v>351</v>
      </c>
      <c r="B45" t="s">
        <v>351</v>
      </c>
      <c r="C45" s="5" t="s">
        <v>248</v>
      </c>
      <c r="D45" s="5" t="s">
        <v>11</v>
      </c>
      <c r="E45" s="5" t="s">
        <v>352</v>
      </c>
      <c r="F45" s="8" t="s">
        <v>353</v>
      </c>
      <c r="G45" s="1">
        <v>0.29299999999999998</v>
      </c>
      <c r="H45" s="5">
        <v>1</v>
      </c>
      <c r="I45" s="1">
        <f t="shared" si="0"/>
        <v>0.29299999999999998</v>
      </c>
      <c r="J45" t="s">
        <v>354</v>
      </c>
      <c r="K45" t="s">
        <v>259</v>
      </c>
    </row>
    <row r="46" spans="1:11" x14ac:dyDescent="0.25">
      <c r="A46" s="5" t="s">
        <v>326</v>
      </c>
      <c r="B46" t="s">
        <v>326</v>
      </c>
      <c r="C46" s="5" t="s">
        <v>327</v>
      </c>
      <c r="D46" s="5" t="s">
        <v>11</v>
      </c>
      <c r="E46" s="5" t="s">
        <v>328</v>
      </c>
      <c r="F46" s="8" t="s">
        <v>329</v>
      </c>
      <c r="G46" s="1">
        <v>1.03</v>
      </c>
      <c r="H46" s="5">
        <v>1</v>
      </c>
      <c r="I46" s="1">
        <f t="shared" si="0"/>
        <v>1.03</v>
      </c>
      <c r="K46" t="s">
        <v>264</v>
      </c>
    </row>
    <row r="47" spans="1:11" x14ac:dyDescent="0.25">
      <c r="A47" s="5" t="s">
        <v>266</v>
      </c>
      <c r="B47" t="s">
        <v>266</v>
      </c>
      <c r="C47" s="5" t="s">
        <v>267</v>
      </c>
      <c r="D47" s="5" t="s">
        <v>11</v>
      </c>
      <c r="E47" s="5" t="s">
        <v>268</v>
      </c>
      <c r="F47" s="8" t="s">
        <v>269</v>
      </c>
      <c r="G47" s="1">
        <v>0.38100000000000001</v>
      </c>
      <c r="H47" s="5">
        <v>1</v>
      </c>
      <c r="I47" s="1">
        <f t="shared" si="0"/>
        <v>0.38100000000000001</v>
      </c>
      <c r="J47" t="s">
        <v>270</v>
      </c>
      <c r="K47" t="s">
        <v>271</v>
      </c>
    </row>
    <row r="48" spans="1:11" x14ac:dyDescent="0.25">
      <c r="A48" s="5" t="s">
        <v>272</v>
      </c>
      <c r="B48" t="s">
        <v>272</v>
      </c>
      <c r="C48" s="5" t="s">
        <v>273</v>
      </c>
      <c r="D48" s="5" t="s">
        <v>11</v>
      </c>
      <c r="E48" s="5" t="s">
        <v>274</v>
      </c>
      <c r="F48" s="8" t="s">
        <v>275</v>
      </c>
      <c r="G48" s="1">
        <v>0.42499999999999999</v>
      </c>
      <c r="H48" s="5">
        <v>1</v>
      </c>
      <c r="I48" s="1">
        <f t="shared" si="0"/>
        <v>0.42499999999999999</v>
      </c>
      <c r="K48" t="s">
        <v>276</v>
      </c>
    </row>
    <row r="49" spans="1:11" x14ac:dyDescent="0.25">
      <c r="A49" s="5" t="s">
        <v>277</v>
      </c>
      <c r="B49" t="s">
        <v>277</v>
      </c>
      <c r="C49" s="5" t="s">
        <v>278</v>
      </c>
      <c r="D49" s="5" t="s">
        <v>11</v>
      </c>
      <c r="E49" s="5" t="s">
        <v>279</v>
      </c>
      <c r="F49" s="8" t="s">
        <v>280</v>
      </c>
      <c r="G49" s="1">
        <v>0.748</v>
      </c>
      <c r="H49" s="5">
        <v>1</v>
      </c>
      <c r="I49" s="1">
        <f t="shared" si="0"/>
        <v>0.748</v>
      </c>
      <c r="K49" t="s">
        <v>281</v>
      </c>
    </row>
    <row r="50" spans="1:11" x14ac:dyDescent="0.25">
      <c r="A50" s="5" t="s">
        <v>282</v>
      </c>
      <c r="B50" t="s">
        <v>282</v>
      </c>
      <c r="C50" s="5" t="s">
        <v>284</v>
      </c>
      <c r="D50" s="5" t="s">
        <v>11</v>
      </c>
      <c r="E50" s="5" t="s">
        <v>283</v>
      </c>
      <c r="F50" s="8" t="s">
        <v>285</v>
      </c>
      <c r="G50" s="1">
        <v>0.20499999999999999</v>
      </c>
      <c r="H50" s="5">
        <v>3</v>
      </c>
      <c r="I50" s="1">
        <f t="shared" si="0"/>
        <v>0.61499999999999999</v>
      </c>
      <c r="J50" t="s">
        <v>286</v>
      </c>
      <c r="K50" t="s">
        <v>287</v>
      </c>
    </row>
    <row r="51" spans="1:11" x14ac:dyDescent="0.25">
      <c r="A51" s="5" t="s">
        <v>289</v>
      </c>
      <c r="B51" t="s">
        <v>289</v>
      </c>
      <c r="C51" s="5" t="s">
        <v>290</v>
      </c>
      <c r="D51" s="5" t="s">
        <v>11</v>
      </c>
      <c r="E51" s="5" t="s">
        <v>291</v>
      </c>
      <c r="F51" s="8" t="s">
        <v>292</v>
      </c>
      <c r="G51" s="1">
        <v>0.64500000000000002</v>
      </c>
      <c r="H51" s="5">
        <v>1</v>
      </c>
      <c r="I51" s="1">
        <f t="shared" si="0"/>
        <v>0.64500000000000002</v>
      </c>
      <c r="K51" t="s">
        <v>293</v>
      </c>
    </row>
    <row r="52" spans="1:11" x14ac:dyDescent="0.25">
      <c r="A52" s="5" t="s">
        <v>296</v>
      </c>
      <c r="B52" t="s">
        <v>296</v>
      </c>
      <c r="C52" s="5" t="s">
        <v>297</v>
      </c>
      <c r="D52" s="5" t="s">
        <v>11</v>
      </c>
      <c r="E52" s="5" t="s">
        <v>298</v>
      </c>
      <c r="F52" s="8" t="s">
        <v>299</v>
      </c>
      <c r="G52" s="1">
        <v>0.27900000000000003</v>
      </c>
      <c r="H52" s="5">
        <v>1</v>
      </c>
      <c r="I52" s="1">
        <f t="shared" si="0"/>
        <v>0.27900000000000003</v>
      </c>
      <c r="J52" t="s">
        <v>300</v>
      </c>
      <c r="K52" t="s">
        <v>301</v>
      </c>
    </row>
    <row r="53" spans="1:11" x14ac:dyDescent="0.25">
      <c r="A53" s="5" t="s">
        <v>330</v>
      </c>
      <c r="B53" t="s">
        <v>330</v>
      </c>
      <c r="C53" s="5" t="s">
        <v>331</v>
      </c>
      <c r="D53" s="5" t="s">
        <v>11</v>
      </c>
      <c r="E53" s="5" t="s">
        <v>332</v>
      </c>
      <c r="F53" s="3" t="s">
        <v>333</v>
      </c>
      <c r="G53" s="1">
        <v>0.60099999999999998</v>
      </c>
      <c r="H53" s="5">
        <v>1</v>
      </c>
      <c r="I53" s="1">
        <f t="shared" si="0"/>
        <v>0.60099999999999998</v>
      </c>
      <c r="K53" t="s">
        <v>308</v>
      </c>
    </row>
  </sheetData>
  <hyperlinks>
    <hyperlink ref="F2" r:id="rId1" xr:uid="{2B7E1707-C1C5-4020-B409-22024A12DFD8}"/>
    <hyperlink ref="F3" r:id="rId2" xr:uid="{37CB11BC-DA91-4B2A-9C52-57A6FCB5AD4C}"/>
    <hyperlink ref="F5" r:id="rId3" xr:uid="{D9BBF5B1-5F87-48E6-9D42-BCA6818DABC0}"/>
    <hyperlink ref="F6" r:id="rId4" xr:uid="{B414AD6E-3B14-4A81-8491-A05E4B865755}"/>
    <hyperlink ref="F7" r:id="rId5" xr:uid="{542DD3EF-BBE3-48F0-87FB-AC35E2005960}"/>
    <hyperlink ref="F8" r:id="rId6" xr:uid="{646CA9A9-046A-4634-8BAA-1F14A6346436}"/>
    <hyperlink ref="F9" r:id="rId7" xr:uid="{C03D47CA-FAE0-4B6F-847B-C84BC3918884}"/>
    <hyperlink ref="F10" r:id="rId8" xr:uid="{41438A2D-8E67-409A-A213-E391AD495AD1}"/>
    <hyperlink ref="F4" r:id="rId9" xr:uid="{3E8BCDFB-A666-4184-919B-683A081D91B9}"/>
    <hyperlink ref="F12" r:id="rId10" xr:uid="{89E0D734-3BF4-4209-8D66-2FC5A4F17D29}"/>
    <hyperlink ref="F13" r:id="rId11" xr:uid="{A2C4A391-DB3C-4E08-93FD-248D64953D6A}"/>
    <hyperlink ref="F14" r:id="rId12" xr:uid="{3E93284B-D3AA-497F-9B14-582C85B4D358}"/>
    <hyperlink ref="F11" r:id="rId13" xr:uid="{54CBFE49-B0CA-42B0-A42C-70DD1749E230}"/>
    <hyperlink ref="F15" r:id="rId14" xr:uid="{F8189184-08F2-48C1-A619-F1D81A5B8120}"/>
    <hyperlink ref="F16" r:id="rId15" xr:uid="{26B1CF04-08E2-409A-AE45-0AB5E3FB25A0}"/>
    <hyperlink ref="F17" r:id="rId16" xr:uid="{644D9871-BC6E-42C7-B0E6-EA8E51CBCD43}"/>
    <hyperlink ref="F18" r:id="rId17" xr:uid="{2EA72DD5-C658-426F-86CC-32329DB1FB20}"/>
    <hyperlink ref="F19" r:id="rId18" xr:uid="{EC92E942-F258-4A85-AD0C-1D3B8298BB4F}"/>
    <hyperlink ref="F20" r:id="rId19" xr:uid="{46788849-6A8D-4B39-B2BC-31640E6F1D7E}"/>
    <hyperlink ref="F21" r:id="rId20" xr:uid="{8C998140-D33E-41E7-B1FF-68BE2AF0A32B}"/>
    <hyperlink ref="F22" r:id="rId21" xr:uid="{8375D10B-333C-4F7A-A15B-5705CCBE9D73}"/>
    <hyperlink ref="F23" r:id="rId22" xr:uid="{5F109F09-7BFE-44D8-AFDF-A9FC9AD220C8}"/>
    <hyperlink ref="F25" r:id="rId23" xr:uid="{08B36C0A-89F5-4B3A-8233-EE678B03568B}"/>
    <hyperlink ref="F26" r:id="rId24" xr:uid="{46E02894-F3BE-47DC-A70F-B8AB6EA131EF}"/>
    <hyperlink ref="F24" r:id="rId25" xr:uid="{D566F01A-A49C-42FD-9B27-D892465B430A}"/>
    <hyperlink ref="F27" r:id="rId26" xr:uid="{A2383AA8-9527-47C8-8721-F7FC8FDA2038}"/>
    <hyperlink ref="F28" r:id="rId27" xr:uid="{4ACCA629-68CB-42B0-9C5B-EF5B3E70BCE2}"/>
    <hyperlink ref="F29" r:id="rId28" xr:uid="{8A3A5792-1656-43E2-BC97-E2EE5DC02D09}"/>
    <hyperlink ref="F30" r:id="rId29" display="https://au.rs-online.com/web/p/pcb-headers/7521797p?cm_mmc=AU-PPC-DS3A-_-google-_-3_AU_EN_Connectors_PCB+Headers_JST_Phrase-_-JST+-+7521797P+-+SM04B-GHS-TB(LF)(SN)-_-sm04b+ghs+tb+lf+sn&amp;matchtype=p&amp;aud-828197004210:kwd-349737151659&amp;gclid=EAIaIQobChMI1ITwjq7-9wIVFBwrCh09SQ1AEAAYAiAAEgIOBfD_BwE&amp;gclsrc=aw.ds" xr:uid="{604D407C-9CAB-4ECD-8C92-989906CC0CE6}"/>
    <hyperlink ref="F31" r:id="rId30" xr:uid="{AC037AD8-7D2F-452D-B526-385A394E2DE3}"/>
    <hyperlink ref="F32" r:id="rId31" display="https://au.rs-online.com/web/p/pcb-headers/7521807p?cm_mmc=AU-PPC-DS3A-_-google-_-3_AU_EN_Connectors_PCB+Headers_JST_Phrase-_-JST+-+7521807P+-+SM05B-GHS-TB(LF)(SN)-_-sm05b+ghs+tb+lf+sn&amp;matchtype=p&amp;aud-821594433763:kwd-383463479017&amp;gclid=EAIaIQobChMI7JqB-rP-9wIVtZNmAh2j4w0kEAAYAyAAEgJjvvD_BwE&amp;gclsrc=aw.ds" xr:uid="{02924C17-3BDD-4768-9E9B-0C2088CC247A}"/>
    <hyperlink ref="F33" r:id="rId32" xr:uid="{55D284A0-9AD1-47AD-83CC-A46039615D78}"/>
    <hyperlink ref="F34" r:id="rId33" xr:uid="{503F126F-4ED1-476C-B96C-2BF61B3FCF37}"/>
    <hyperlink ref="F35" r:id="rId34" xr:uid="{29133D2E-259A-4F13-8C43-9A46D38F33E1}"/>
    <hyperlink ref="F36" r:id="rId35" xr:uid="{52A13A41-0BC7-40C0-881E-B49810514564}"/>
    <hyperlink ref="F37" r:id="rId36" xr:uid="{92096B38-C49A-4702-8979-14AABD8F4B49}"/>
    <hyperlink ref="F38" r:id="rId37" xr:uid="{53525870-2A70-4049-B95A-079F2C91FDFF}"/>
    <hyperlink ref="F39" r:id="rId38" xr:uid="{77A3ECB4-7877-48A5-8390-22451277484D}"/>
    <hyperlink ref="F40" r:id="rId39" xr:uid="{63D45C4A-0CD8-4643-9ABE-62AF51C5BD7E}"/>
    <hyperlink ref="F41" r:id="rId40" xr:uid="{5FD4C6C0-DF1D-4810-8EB4-BB3BB0941811}"/>
    <hyperlink ref="F42" r:id="rId41" xr:uid="{78B2A17C-35B8-44D7-8C4E-0AB9DCB4ED2B}"/>
    <hyperlink ref="F43" r:id="rId42" xr:uid="{3DA72BF3-DCC5-42A9-97F4-563FA40EDCDB}"/>
    <hyperlink ref="F44" r:id="rId43" xr:uid="{0F06092C-91D3-46E5-AC0F-2D8B268FE948}"/>
    <hyperlink ref="F45" r:id="rId44" xr:uid="{94F6C0A7-EB28-4430-A15C-923BEE7350D8}"/>
    <hyperlink ref="F46" r:id="rId45" xr:uid="{9968BA65-F8E2-49E8-AB8C-CFE03046AB93}"/>
    <hyperlink ref="F47" r:id="rId46" xr:uid="{370A2214-B7BB-43CF-892F-EAFC9EAF61B1}"/>
    <hyperlink ref="F48" r:id="rId47" xr:uid="{EE3C92B1-616D-4A3D-BFDE-B0E60F0BE1A5}"/>
    <hyperlink ref="F49" r:id="rId48" xr:uid="{C55068FD-F548-467D-8414-1251A831F12B}"/>
    <hyperlink ref="F50" r:id="rId49" xr:uid="{89A485F6-EFB0-4F0E-AABA-AC8F724BA9B9}"/>
    <hyperlink ref="F51" r:id="rId50" xr:uid="{DB2532A1-C26B-4B01-AF61-7E2B45E4C8FE}"/>
    <hyperlink ref="F52" r:id="rId51" xr:uid="{F5B78C5B-E80C-4034-A6F8-1867ADCC323B}"/>
    <hyperlink ref="F53" r:id="rId52" xr:uid="{85F69B14-58AB-4C1C-B63C-9DA8413EBBA0}"/>
  </hyperlinks>
  <pageMargins left="0.7" right="0.7" top="0.75" bottom="0.75" header="0.3" footer="0.3"/>
  <pageSetup paperSize="9" orientation="portrait" r:id="rId5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CB0D9-60C8-4D4B-9133-A6C3CB07F5E4}">
  <dimension ref="A1:L59"/>
  <sheetViews>
    <sheetView zoomScale="85" zoomScaleNormal="85" workbookViewId="0">
      <selection activeCell="J18" sqref="J18"/>
    </sheetView>
  </sheetViews>
  <sheetFormatPr defaultRowHeight="15" x14ac:dyDescent="0.25"/>
  <cols>
    <col min="1" max="1" width="32" customWidth="1"/>
    <col min="2" max="2" width="26.85546875" customWidth="1"/>
    <col min="3" max="3" width="27.42578125" customWidth="1"/>
    <col min="4" max="4" width="16.140625" customWidth="1"/>
    <col min="5" max="5" width="26.140625" customWidth="1"/>
    <col min="6" max="6" width="25.140625" customWidth="1"/>
    <col min="7" max="7" width="15.7109375" style="1" customWidth="1"/>
    <col min="8" max="8" width="15.28515625" customWidth="1"/>
    <col min="9" max="9" width="14" customWidth="1"/>
    <col min="10" max="10" width="37.140625" customWidth="1"/>
    <col min="11" max="11" width="76" bestFit="1" customWidth="1"/>
    <col min="12" max="12" width="16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4</v>
      </c>
      <c r="G1" t="s">
        <v>5</v>
      </c>
      <c r="H1" t="s">
        <v>6</v>
      </c>
      <c r="I1" t="s">
        <v>7</v>
      </c>
      <c r="J1" t="s">
        <v>14</v>
      </c>
      <c r="K1" t="s">
        <v>36</v>
      </c>
      <c r="L1" t="s">
        <v>418</v>
      </c>
    </row>
    <row r="2" spans="1:12" x14ac:dyDescent="0.25">
      <c r="A2" s="22" t="s">
        <v>8</v>
      </c>
      <c r="B2" s="22" t="s">
        <v>8</v>
      </c>
      <c r="C2" s="22" t="s">
        <v>13</v>
      </c>
      <c r="D2" s="22" t="s">
        <v>11</v>
      </c>
      <c r="E2" s="22" t="s">
        <v>10</v>
      </c>
      <c r="F2" s="22" t="s">
        <v>12</v>
      </c>
      <c r="G2" s="23">
        <v>31.48</v>
      </c>
      <c r="H2" s="22">
        <v>1</v>
      </c>
      <c r="I2" s="23">
        <f>G2*H2</f>
        <v>31.48</v>
      </c>
      <c r="J2" s="22" t="s">
        <v>105</v>
      </c>
      <c r="K2" s="22" t="s">
        <v>38</v>
      </c>
      <c r="L2" t="s">
        <v>419</v>
      </c>
    </row>
    <row r="3" spans="1:12" x14ac:dyDescent="0.25">
      <c r="A3" t="s">
        <v>100</v>
      </c>
      <c r="B3" t="s">
        <v>100</v>
      </c>
      <c r="C3" s="21" t="s">
        <v>101</v>
      </c>
      <c r="D3" t="s">
        <v>11</v>
      </c>
      <c r="E3" s="21" t="s">
        <v>103</v>
      </c>
      <c r="F3" s="3" t="s">
        <v>104</v>
      </c>
      <c r="G3" s="1">
        <v>1.77</v>
      </c>
      <c r="H3">
        <v>1</v>
      </c>
      <c r="I3" s="1">
        <f t="shared" ref="I3:I19" si="0">G3*H3</f>
        <v>1.77</v>
      </c>
      <c r="K3" t="s">
        <v>102</v>
      </c>
      <c r="L3" t="s">
        <v>419</v>
      </c>
    </row>
    <row r="4" spans="1:12" x14ac:dyDescent="0.25">
      <c r="A4" t="s">
        <v>339</v>
      </c>
      <c r="B4" t="s">
        <v>339</v>
      </c>
      <c r="C4" s="14" t="s">
        <v>340</v>
      </c>
      <c r="D4" t="s">
        <v>11</v>
      </c>
      <c r="E4" t="s">
        <v>341</v>
      </c>
      <c r="F4" s="3" t="s">
        <v>342</v>
      </c>
      <c r="G4" s="1">
        <v>9.66</v>
      </c>
      <c r="H4">
        <v>1</v>
      </c>
      <c r="I4" s="1">
        <f t="shared" si="0"/>
        <v>9.66</v>
      </c>
      <c r="K4" t="s">
        <v>40</v>
      </c>
      <c r="L4" t="s">
        <v>419</v>
      </c>
    </row>
    <row r="5" spans="1:12" x14ac:dyDescent="0.25">
      <c r="A5" t="s">
        <v>190</v>
      </c>
      <c r="B5" t="s">
        <v>191</v>
      </c>
      <c r="C5" t="s">
        <v>192</v>
      </c>
      <c r="D5" t="s">
        <v>118</v>
      </c>
      <c r="E5" t="s">
        <v>193</v>
      </c>
      <c r="F5" s="3" t="s">
        <v>194</v>
      </c>
      <c r="G5" s="1">
        <v>1.121</v>
      </c>
      <c r="H5">
        <v>1</v>
      </c>
      <c r="I5" s="1">
        <f t="shared" si="0"/>
        <v>1.121</v>
      </c>
      <c r="J5" s="22" t="s">
        <v>403</v>
      </c>
      <c r="K5" t="s">
        <v>196</v>
      </c>
      <c r="L5" t="s">
        <v>419</v>
      </c>
    </row>
    <row r="6" spans="1:12" x14ac:dyDescent="0.25">
      <c r="A6" s="21" t="s">
        <v>15</v>
      </c>
      <c r="B6" t="s">
        <v>15</v>
      </c>
      <c r="C6" t="s">
        <v>18</v>
      </c>
      <c r="D6" t="s">
        <v>11</v>
      </c>
      <c r="E6" t="s">
        <v>17</v>
      </c>
      <c r="F6" s="3" t="s">
        <v>16</v>
      </c>
      <c r="G6" s="1">
        <v>1.07</v>
      </c>
      <c r="H6">
        <v>1</v>
      </c>
      <c r="I6" s="1">
        <f t="shared" si="0"/>
        <v>1.07</v>
      </c>
      <c r="K6" t="s">
        <v>37</v>
      </c>
      <c r="L6" t="s">
        <v>419</v>
      </c>
    </row>
    <row r="7" spans="1:12" x14ac:dyDescent="0.25">
      <c r="A7" s="5" t="s">
        <v>356</v>
      </c>
      <c r="B7" s="5" t="s">
        <v>356</v>
      </c>
      <c r="C7" s="5" t="s">
        <v>355</v>
      </c>
      <c r="D7" s="5" t="s">
        <v>11</v>
      </c>
      <c r="E7" s="5" t="s">
        <v>357</v>
      </c>
      <c r="F7" s="8" t="s">
        <v>358</v>
      </c>
      <c r="G7" s="24">
        <v>0.26400000000000001</v>
      </c>
      <c r="H7" s="5">
        <v>9</v>
      </c>
      <c r="I7" s="1">
        <f t="shared" si="0"/>
        <v>2.3760000000000003</v>
      </c>
      <c r="J7" s="5" t="s">
        <v>359</v>
      </c>
      <c r="K7" t="s">
        <v>294</v>
      </c>
      <c r="L7" t="s">
        <v>419</v>
      </c>
    </row>
    <row r="8" spans="1:12" x14ac:dyDescent="0.25">
      <c r="A8" s="5" t="s">
        <v>23</v>
      </c>
      <c r="B8" s="5" t="s">
        <v>23</v>
      </c>
      <c r="C8" s="5" t="s">
        <v>24</v>
      </c>
      <c r="D8" s="5" t="s">
        <v>11</v>
      </c>
      <c r="E8" s="5" t="s">
        <v>25</v>
      </c>
      <c r="F8" s="8" t="s">
        <v>26</v>
      </c>
      <c r="G8" s="24">
        <v>0.70399999999999996</v>
      </c>
      <c r="H8" s="5">
        <v>2</v>
      </c>
      <c r="I8" s="1">
        <f t="shared" si="0"/>
        <v>1.4079999999999999</v>
      </c>
      <c r="J8" s="5" t="s">
        <v>136</v>
      </c>
      <c r="K8" t="s">
        <v>41</v>
      </c>
      <c r="L8" t="s">
        <v>419</v>
      </c>
    </row>
    <row r="9" spans="1:12" x14ac:dyDescent="0.25">
      <c r="A9" s="5" t="s">
        <v>360</v>
      </c>
      <c r="B9" s="7" t="s">
        <v>360</v>
      </c>
      <c r="C9" s="5" t="s">
        <v>361</v>
      </c>
      <c r="D9" s="5" t="s">
        <v>11</v>
      </c>
      <c r="E9" s="5" t="s">
        <v>362</v>
      </c>
      <c r="F9" s="8" t="s">
        <v>363</v>
      </c>
      <c r="G9" s="24">
        <v>0.48399999999999999</v>
      </c>
      <c r="H9" s="5">
        <v>13</v>
      </c>
      <c r="I9" s="1">
        <f t="shared" si="0"/>
        <v>6.2919999999999998</v>
      </c>
      <c r="J9" s="5" t="s">
        <v>364</v>
      </c>
      <c r="K9" t="s">
        <v>384</v>
      </c>
      <c r="L9" t="s">
        <v>419</v>
      </c>
    </row>
    <row r="10" spans="1:12" x14ac:dyDescent="0.25">
      <c r="A10" s="5" t="s">
        <v>31</v>
      </c>
      <c r="B10" t="s">
        <v>31</v>
      </c>
      <c r="C10" s="5" t="s">
        <v>32</v>
      </c>
      <c r="D10" s="5" t="s">
        <v>11</v>
      </c>
      <c r="E10" s="5" t="s">
        <v>33</v>
      </c>
      <c r="F10" s="8" t="s">
        <v>34</v>
      </c>
      <c r="G10" s="1">
        <v>0.191</v>
      </c>
      <c r="H10" s="5">
        <v>19</v>
      </c>
      <c r="I10" s="1">
        <f t="shared" si="0"/>
        <v>3.629</v>
      </c>
      <c r="J10" s="5" t="s">
        <v>288</v>
      </c>
      <c r="K10" t="s">
        <v>383</v>
      </c>
      <c r="L10" t="s">
        <v>419</v>
      </c>
    </row>
    <row r="11" spans="1:12" x14ac:dyDescent="0.25">
      <c r="A11" s="5" t="s">
        <v>51</v>
      </c>
      <c r="B11" t="s">
        <v>51</v>
      </c>
      <c r="C11" s="5" t="s">
        <v>52</v>
      </c>
      <c r="D11" s="5" t="s">
        <v>11</v>
      </c>
      <c r="E11" s="5" t="s">
        <v>53</v>
      </c>
      <c r="F11" s="3" t="s">
        <v>50</v>
      </c>
      <c r="G11" s="1">
        <v>1.03</v>
      </c>
      <c r="H11" s="5">
        <v>2</v>
      </c>
      <c r="I11" s="1">
        <f t="shared" si="0"/>
        <v>2.06</v>
      </c>
      <c r="J11" s="5"/>
      <c r="K11" t="s">
        <v>88</v>
      </c>
      <c r="L11" t="s">
        <v>419</v>
      </c>
    </row>
    <row r="12" spans="1:12" x14ac:dyDescent="0.25">
      <c r="A12" t="s">
        <v>313</v>
      </c>
      <c r="B12" t="s">
        <v>313</v>
      </c>
      <c r="C12" t="s">
        <v>314</v>
      </c>
      <c r="D12" t="s">
        <v>11</v>
      </c>
      <c r="E12" t="s">
        <v>315</v>
      </c>
      <c r="F12" s="3" t="s">
        <v>316</v>
      </c>
      <c r="G12">
        <v>0.57199999999999995</v>
      </c>
      <c r="H12">
        <v>1</v>
      </c>
      <c r="I12">
        <f t="shared" si="0"/>
        <v>0.57199999999999995</v>
      </c>
      <c r="J12" s="25" t="s">
        <v>366</v>
      </c>
      <c r="K12" t="s">
        <v>365</v>
      </c>
      <c r="L12" t="s">
        <v>419</v>
      </c>
    </row>
    <row r="13" spans="1:12" x14ac:dyDescent="0.25">
      <c r="A13" s="5" t="s">
        <v>42</v>
      </c>
      <c r="B13" t="s">
        <v>42</v>
      </c>
      <c r="C13" s="5" t="s">
        <v>44</v>
      </c>
      <c r="D13" s="5" t="s">
        <v>11</v>
      </c>
      <c r="E13" s="5" t="s">
        <v>45</v>
      </c>
      <c r="F13" s="3" t="s">
        <v>43</v>
      </c>
      <c r="G13" s="1">
        <v>0.15</v>
      </c>
      <c r="H13" s="5">
        <v>6</v>
      </c>
      <c r="I13" s="1">
        <f t="shared" si="0"/>
        <v>0.89999999999999991</v>
      </c>
      <c r="J13" s="5" t="s">
        <v>138</v>
      </c>
      <c r="K13" t="s">
        <v>240</v>
      </c>
      <c r="L13" t="s">
        <v>419</v>
      </c>
    </row>
    <row r="14" spans="1:12" x14ac:dyDescent="0.25">
      <c r="A14" s="5" t="s">
        <v>367</v>
      </c>
      <c r="B14" t="s">
        <v>367</v>
      </c>
      <c r="C14" s="5" t="s">
        <v>368</v>
      </c>
      <c r="D14" s="5" t="s">
        <v>11</v>
      </c>
      <c r="E14" s="5" t="s">
        <v>369</v>
      </c>
      <c r="F14" s="3" t="s">
        <v>370</v>
      </c>
      <c r="G14" s="1">
        <v>0.20499999999999999</v>
      </c>
      <c r="H14" s="5">
        <v>3</v>
      </c>
      <c r="I14" s="1">
        <f t="shared" si="0"/>
        <v>0.61499999999999999</v>
      </c>
      <c r="J14" s="5" t="s">
        <v>139</v>
      </c>
      <c r="K14" t="s">
        <v>184</v>
      </c>
      <c r="L14" t="s">
        <v>419</v>
      </c>
    </row>
    <row r="15" spans="1:12" x14ac:dyDescent="0.25">
      <c r="A15" s="5" t="s">
        <v>371</v>
      </c>
      <c r="B15" t="s">
        <v>371</v>
      </c>
      <c r="C15" s="5" t="s">
        <v>372</v>
      </c>
      <c r="D15" s="5" t="s">
        <v>11</v>
      </c>
      <c r="E15" s="5" t="s">
        <v>373</v>
      </c>
      <c r="F15" s="3" t="s">
        <v>374</v>
      </c>
      <c r="G15" s="1">
        <v>0.748</v>
      </c>
      <c r="H15" s="5">
        <v>3</v>
      </c>
      <c r="I15" s="1">
        <f t="shared" si="0"/>
        <v>2.2439999999999998</v>
      </c>
      <c r="J15" s="5" t="s">
        <v>375</v>
      </c>
      <c r="K15" t="s">
        <v>295</v>
      </c>
      <c r="L15" t="s">
        <v>419</v>
      </c>
    </row>
    <row r="16" spans="1:12" x14ac:dyDescent="0.25">
      <c r="A16" s="5" t="s">
        <v>377</v>
      </c>
      <c r="B16" t="s">
        <v>377</v>
      </c>
      <c r="C16" s="5" t="s">
        <v>378</v>
      </c>
      <c r="D16" s="5" t="s">
        <v>11</v>
      </c>
      <c r="E16" s="5" t="s">
        <v>379</v>
      </c>
      <c r="F16" s="3" t="s">
        <v>380</v>
      </c>
      <c r="G16" s="1">
        <v>1.72</v>
      </c>
      <c r="H16" s="5">
        <v>1</v>
      </c>
      <c r="I16" s="1">
        <f t="shared" si="0"/>
        <v>1.72</v>
      </c>
      <c r="J16" s="5" t="s">
        <v>376</v>
      </c>
      <c r="K16" t="s">
        <v>61</v>
      </c>
      <c r="L16" t="s">
        <v>419</v>
      </c>
    </row>
    <row r="17" spans="1:12" x14ac:dyDescent="0.25">
      <c r="A17" s="5" t="s">
        <v>317</v>
      </c>
      <c r="B17" t="s">
        <v>317</v>
      </c>
      <c r="C17" s="5" t="s">
        <v>318</v>
      </c>
      <c r="D17" s="5" t="s">
        <v>11</v>
      </c>
      <c r="E17" s="5" t="s">
        <v>319</v>
      </c>
      <c r="F17" s="3" t="s">
        <v>320</v>
      </c>
      <c r="G17" s="1">
        <v>47.65</v>
      </c>
      <c r="H17" s="5">
        <v>1</v>
      </c>
      <c r="I17" s="1">
        <f t="shared" si="0"/>
        <v>47.65</v>
      </c>
      <c r="J17" s="25" t="s">
        <v>321</v>
      </c>
      <c r="K17" t="s">
        <v>71</v>
      </c>
      <c r="L17" t="s">
        <v>419</v>
      </c>
    </row>
    <row r="18" spans="1:12" x14ac:dyDescent="0.25">
      <c r="A18" s="5" t="s">
        <v>334</v>
      </c>
      <c r="B18" t="s">
        <v>334</v>
      </c>
      <c r="C18" s="5" t="s">
        <v>335</v>
      </c>
      <c r="D18" s="5" t="s">
        <v>11</v>
      </c>
      <c r="E18" s="5" t="s">
        <v>336</v>
      </c>
      <c r="F18" s="8" t="s">
        <v>337</v>
      </c>
      <c r="G18" s="1">
        <v>58.64</v>
      </c>
      <c r="H18" s="5">
        <v>1</v>
      </c>
      <c r="I18" s="1">
        <f t="shared" si="0"/>
        <v>58.64</v>
      </c>
      <c r="J18" s="25" t="s">
        <v>338</v>
      </c>
      <c r="K18" t="s">
        <v>77</v>
      </c>
      <c r="L18" t="s">
        <v>419</v>
      </c>
    </row>
    <row r="19" spans="1:12" x14ac:dyDescent="0.25">
      <c r="A19" s="5" t="s">
        <v>385</v>
      </c>
      <c r="B19" t="s">
        <v>385</v>
      </c>
      <c r="C19" s="5" t="s">
        <v>386</v>
      </c>
      <c r="D19" s="5" t="s">
        <v>11</v>
      </c>
      <c r="E19" s="5" t="s">
        <v>387</v>
      </c>
      <c r="F19" s="3" t="s">
        <v>388</v>
      </c>
      <c r="G19" s="1">
        <v>5.92</v>
      </c>
      <c r="H19" s="5">
        <v>1</v>
      </c>
      <c r="I19" s="1">
        <f t="shared" si="0"/>
        <v>5.92</v>
      </c>
      <c r="K19" t="s">
        <v>389</v>
      </c>
      <c r="L19" t="s">
        <v>419</v>
      </c>
    </row>
    <row r="20" spans="1:12" x14ac:dyDescent="0.25">
      <c r="A20" s="5" t="s">
        <v>79</v>
      </c>
      <c r="B20" t="s">
        <v>79</v>
      </c>
      <c r="C20" s="5" t="s">
        <v>78</v>
      </c>
      <c r="D20" s="5" t="s">
        <v>11</v>
      </c>
      <c r="E20" s="5" t="s">
        <v>80</v>
      </c>
      <c r="F20" s="8" t="s">
        <v>81</v>
      </c>
      <c r="G20" s="1">
        <v>0.23499999999999999</v>
      </c>
      <c r="H20" s="5">
        <v>1</v>
      </c>
      <c r="I20" s="1">
        <f t="shared" ref="I20:I27" si="1">G20*H20</f>
        <v>0.23499999999999999</v>
      </c>
      <c r="J20" t="s">
        <v>381</v>
      </c>
      <c r="K20" t="s">
        <v>82</v>
      </c>
      <c r="L20" t="s">
        <v>419</v>
      </c>
    </row>
    <row r="21" spans="1:12" x14ac:dyDescent="0.25">
      <c r="A21" s="5" t="s">
        <v>83</v>
      </c>
      <c r="B21" t="s">
        <v>83</v>
      </c>
      <c r="C21" s="5" t="s">
        <v>84</v>
      </c>
      <c r="D21" s="5" t="s">
        <v>11</v>
      </c>
      <c r="E21" s="5" t="s">
        <v>86</v>
      </c>
      <c r="F21" s="8" t="s">
        <v>85</v>
      </c>
      <c r="G21" s="1">
        <v>30.9</v>
      </c>
      <c r="H21" s="5">
        <v>1</v>
      </c>
      <c r="I21" s="1">
        <f t="shared" si="1"/>
        <v>30.9</v>
      </c>
      <c r="K21" t="s">
        <v>87</v>
      </c>
      <c r="L21" t="s">
        <v>419</v>
      </c>
    </row>
    <row r="22" spans="1:12" x14ac:dyDescent="0.25">
      <c r="A22" s="5" t="s">
        <v>322</v>
      </c>
      <c r="B22" t="s">
        <v>322</v>
      </c>
      <c r="C22" s="5" t="s">
        <v>323</v>
      </c>
      <c r="D22" s="5" t="s">
        <v>11</v>
      </c>
      <c r="E22" s="5" t="s">
        <v>324</v>
      </c>
      <c r="F22" s="8" t="s">
        <v>325</v>
      </c>
      <c r="G22" s="1">
        <v>0.71799999999999997</v>
      </c>
      <c r="H22" s="5">
        <v>2</v>
      </c>
      <c r="I22" s="1">
        <f t="shared" si="1"/>
        <v>1.4359999999999999</v>
      </c>
      <c r="J22" t="s">
        <v>382</v>
      </c>
      <c r="K22" t="s">
        <v>185</v>
      </c>
      <c r="L22" t="s">
        <v>419</v>
      </c>
    </row>
    <row r="23" spans="1:12" x14ac:dyDescent="0.25">
      <c r="A23" s="5" t="s">
        <v>94</v>
      </c>
      <c r="B23" t="s">
        <v>94</v>
      </c>
      <c r="C23" s="5" t="s">
        <v>95</v>
      </c>
      <c r="D23" s="5" t="s">
        <v>11</v>
      </c>
      <c r="E23" s="5" t="s">
        <v>97</v>
      </c>
      <c r="F23" s="3" t="s">
        <v>96</v>
      </c>
      <c r="G23" s="1">
        <v>0.76200000000000001</v>
      </c>
      <c r="H23" s="5">
        <v>1</v>
      </c>
      <c r="I23" s="1">
        <f t="shared" si="1"/>
        <v>0.76200000000000001</v>
      </c>
      <c r="K23" t="s">
        <v>98</v>
      </c>
      <c r="L23" t="s">
        <v>419</v>
      </c>
    </row>
    <row r="24" spans="1:12" x14ac:dyDescent="0.25">
      <c r="A24" s="5" t="s">
        <v>109</v>
      </c>
      <c r="B24" t="s">
        <v>109</v>
      </c>
      <c r="C24" s="5" t="s">
        <v>110</v>
      </c>
      <c r="D24" s="5" t="s">
        <v>11</v>
      </c>
      <c r="E24" s="5" t="s">
        <v>111</v>
      </c>
      <c r="F24" s="8" t="s">
        <v>112</v>
      </c>
      <c r="G24" s="1">
        <v>0.32300000000000001</v>
      </c>
      <c r="H24" s="5">
        <v>8</v>
      </c>
      <c r="I24" s="1">
        <f t="shared" si="1"/>
        <v>2.5840000000000001</v>
      </c>
      <c r="J24" t="s">
        <v>143</v>
      </c>
      <c r="K24" t="s">
        <v>197</v>
      </c>
      <c r="L24" t="s">
        <v>419</v>
      </c>
    </row>
    <row r="25" spans="1:12" x14ac:dyDescent="0.25">
      <c r="A25" s="5" t="s">
        <v>125</v>
      </c>
      <c r="B25" t="s">
        <v>125</v>
      </c>
      <c r="C25" s="5" t="s">
        <v>126</v>
      </c>
      <c r="D25" s="5" t="s">
        <v>11</v>
      </c>
      <c r="E25" s="5" t="s">
        <v>127</v>
      </c>
      <c r="F25" s="8" t="s">
        <v>128</v>
      </c>
      <c r="G25" s="1">
        <v>1.61</v>
      </c>
      <c r="H25" s="5">
        <v>1</v>
      </c>
      <c r="I25" s="1">
        <f t="shared" si="1"/>
        <v>1.61</v>
      </c>
      <c r="K25" t="s">
        <v>129</v>
      </c>
      <c r="L25" t="s">
        <v>419</v>
      </c>
    </row>
    <row r="26" spans="1:12" x14ac:dyDescent="0.25">
      <c r="A26" s="5" t="s">
        <v>114</v>
      </c>
      <c r="B26" t="s">
        <v>115</v>
      </c>
      <c r="C26" s="5" t="s">
        <v>116</v>
      </c>
      <c r="D26" s="5" t="s">
        <v>118</v>
      </c>
      <c r="E26" s="5" t="s">
        <v>117</v>
      </c>
      <c r="F26" s="3" t="s">
        <v>113</v>
      </c>
      <c r="G26" s="1">
        <v>1.302</v>
      </c>
      <c r="H26" s="5">
        <v>4</v>
      </c>
      <c r="I26" s="1">
        <f t="shared" si="1"/>
        <v>5.2080000000000002</v>
      </c>
      <c r="K26" t="s">
        <v>406</v>
      </c>
      <c r="L26" t="s">
        <v>419</v>
      </c>
    </row>
    <row r="27" spans="1:12" x14ac:dyDescent="0.25">
      <c r="A27" s="5" t="s">
        <v>344</v>
      </c>
      <c r="B27" t="s">
        <v>344</v>
      </c>
      <c r="C27" s="5" t="s">
        <v>345</v>
      </c>
      <c r="D27" s="5" t="s">
        <v>11</v>
      </c>
      <c r="E27" s="5" t="s">
        <v>346</v>
      </c>
      <c r="F27" s="8" t="s">
        <v>343</v>
      </c>
      <c r="G27" s="1">
        <v>3.9</v>
      </c>
      <c r="H27" s="5">
        <v>1</v>
      </c>
      <c r="I27" s="1">
        <f t="shared" si="1"/>
        <v>3.9</v>
      </c>
      <c r="K27" t="s">
        <v>347</v>
      </c>
      <c r="L27" t="s">
        <v>419</v>
      </c>
    </row>
    <row r="28" spans="1:12" x14ac:dyDescent="0.25">
      <c r="A28" s="5" t="s">
        <v>119</v>
      </c>
      <c r="B28" t="s">
        <v>119</v>
      </c>
      <c r="C28" s="5" t="s">
        <v>120</v>
      </c>
      <c r="D28" s="5" t="s">
        <v>11</v>
      </c>
      <c r="E28" s="5" t="s">
        <v>121</v>
      </c>
      <c r="F28" s="8" t="s">
        <v>122</v>
      </c>
      <c r="G28" s="1">
        <v>0.41</v>
      </c>
      <c r="H28" s="5">
        <v>2</v>
      </c>
      <c r="I28" s="1">
        <f t="shared" ref="I28:I57" si="2">G28*H28</f>
        <v>0.82</v>
      </c>
      <c r="J28" t="s">
        <v>141</v>
      </c>
      <c r="K28" t="s">
        <v>123</v>
      </c>
      <c r="L28" t="s">
        <v>419</v>
      </c>
    </row>
    <row r="29" spans="1:12" x14ac:dyDescent="0.25">
      <c r="A29" s="5" t="s">
        <v>390</v>
      </c>
      <c r="B29" t="s">
        <v>390</v>
      </c>
      <c r="C29" s="5" t="s">
        <v>391</v>
      </c>
      <c r="D29" s="5" t="s">
        <v>11</v>
      </c>
      <c r="E29" s="5" t="s">
        <v>392</v>
      </c>
      <c r="F29" s="3" t="s">
        <v>393</v>
      </c>
      <c r="G29" s="1">
        <v>0.14699999999999999</v>
      </c>
      <c r="H29" s="5">
        <v>2</v>
      </c>
      <c r="I29" s="1">
        <f t="shared" si="2"/>
        <v>0.29399999999999998</v>
      </c>
      <c r="J29" t="s">
        <v>142</v>
      </c>
      <c r="K29" t="s">
        <v>134</v>
      </c>
      <c r="L29" t="s">
        <v>419</v>
      </c>
    </row>
    <row r="30" spans="1:12" x14ac:dyDescent="0.25">
      <c r="A30" s="5" t="s">
        <v>144</v>
      </c>
      <c r="B30" t="s">
        <v>144</v>
      </c>
      <c r="C30" s="5" t="s">
        <v>145</v>
      </c>
      <c r="D30" s="5" t="s">
        <v>11</v>
      </c>
      <c r="E30" s="5" t="s">
        <v>146</v>
      </c>
      <c r="F30" s="3" t="s">
        <v>147</v>
      </c>
      <c r="G30" s="1">
        <v>0.48399999999999999</v>
      </c>
      <c r="H30" s="5">
        <v>5</v>
      </c>
      <c r="I30" s="1">
        <f t="shared" si="2"/>
        <v>2.42</v>
      </c>
      <c r="J30" t="s">
        <v>198</v>
      </c>
      <c r="K30" t="s">
        <v>148</v>
      </c>
      <c r="L30" t="s">
        <v>419</v>
      </c>
    </row>
    <row r="31" spans="1:12" x14ac:dyDescent="0.25">
      <c r="A31" s="5" t="s">
        <v>149</v>
      </c>
      <c r="B31" t="s">
        <v>149</v>
      </c>
      <c r="C31" s="5" t="s">
        <v>150</v>
      </c>
      <c r="D31" s="5" t="s">
        <v>11</v>
      </c>
      <c r="E31" s="5" t="s">
        <v>151</v>
      </c>
      <c r="F31" s="3" t="s">
        <v>152</v>
      </c>
      <c r="G31" s="1">
        <v>2.1</v>
      </c>
      <c r="H31" s="5">
        <v>1</v>
      </c>
      <c r="I31" s="1">
        <f t="shared" si="2"/>
        <v>2.1</v>
      </c>
      <c r="J31" s="22" t="s">
        <v>402</v>
      </c>
      <c r="K31" t="s">
        <v>155</v>
      </c>
      <c r="L31" t="s">
        <v>419</v>
      </c>
    </row>
    <row r="32" spans="1:12" x14ac:dyDescent="0.25">
      <c r="A32" s="5" t="s">
        <v>156</v>
      </c>
      <c r="B32" t="s">
        <v>157</v>
      </c>
      <c r="C32" s="5" t="s">
        <v>116</v>
      </c>
      <c r="D32" s="5" t="s">
        <v>118</v>
      </c>
      <c r="E32" s="5" t="s">
        <v>158</v>
      </c>
      <c r="F32" s="8" t="s">
        <v>159</v>
      </c>
      <c r="G32" s="1">
        <v>1.1180000000000001</v>
      </c>
      <c r="H32" s="5">
        <v>2</v>
      </c>
      <c r="I32" s="1">
        <f t="shared" si="2"/>
        <v>2.2360000000000002</v>
      </c>
      <c r="J32" s="22" t="s">
        <v>160</v>
      </c>
      <c r="K32" t="s">
        <v>404</v>
      </c>
      <c r="L32" t="s">
        <v>419</v>
      </c>
    </row>
    <row r="33" spans="1:12" x14ac:dyDescent="0.25">
      <c r="A33" s="5" t="s">
        <v>162</v>
      </c>
      <c r="B33" t="s">
        <v>162</v>
      </c>
      <c r="C33" s="5" t="s">
        <v>110</v>
      </c>
      <c r="D33" s="5" t="s">
        <v>11</v>
      </c>
      <c r="E33" s="5" t="s">
        <v>163</v>
      </c>
      <c r="F33" s="8" t="s">
        <v>164</v>
      </c>
      <c r="G33" s="1">
        <v>0.32300000000000001</v>
      </c>
      <c r="H33" s="5">
        <v>1</v>
      </c>
      <c r="I33" s="1">
        <f t="shared" si="2"/>
        <v>0.32300000000000001</v>
      </c>
      <c r="J33" t="s">
        <v>165</v>
      </c>
      <c r="K33" t="s">
        <v>166</v>
      </c>
      <c r="L33" t="s">
        <v>419</v>
      </c>
    </row>
    <row r="34" spans="1:12" x14ac:dyDescent="0.25">
      <c r="A34" s="5" t="s">
        <v>167</v>
      </c>
      <c r="B34" t="s">
        <v>168</v>
      </c>
      <c r="C34" s="5" t="s">
        <v>116</v>
      </c>
      <c r="D34" s="5" t="s">
        <v>118</v>
      </c>
      <c r="E34" s="5" t="s">
        <v>169</v>
      </c>
      <c r="F34" s="8" t="s">
        <v>170</v>
      </c>
      <c r="G34" s="1">
        <v>1.206</v>
      </c>
      <c r="H34" s="5">
        <v>2</v>
      </c>
      <c r="I34" s="1">
        <f t="shared" si="2"/>
        <v>2.4119999999999999</v>
      </c>
      <c r="J34" s="22" t="s">
        <v>171</v>
      </c>
      <c r="K34" t="s">
        <v>405</v>
      </c>
      <c r="L34" t="s">
        <v>419</v>
      </c>
    </row>
    <row r="35" spans="1:12" x14ac:dyDescent="0.25">
      <c r="A35" s="5" t="s">
        <v>173</v>
      </c>
      <c r="B35" t="s">
        <v>173</v>
      </c>
      <c r="C35" s="5" t="s">
        <v>176</v>
      </c>
      <c r="D35" s="5" t="s">
        <v>175</v>
      </c>
      <c r="E35" s="5" t="s">
        <v>174</v>
      </c>
      <c r="F35" s="8" t="s">
        <v>177</v>
      </c>
      <c r="G35" s="1">
        <v>0.43</v>
      </c>
      <c r="H35" s="5">
        <v>1</v>
      </c>
      <c r="I35" s="1">
        <f t="shared" si="2"/>
        <v>0.43</v>
      </c>
      <c r="K35" t="s">
        <v>178</v>
      </c>
      <c r="L35" t="s">
        <v>419</v>
      </c>
    </row>
    <row r="36" spans="1:12" x14ac:dyDescent="0.25">
      <c r="A36" s="5" t="s">
        <v>179</v>
      </c>
      <c r="B36" t="s">
        <v>179</v>
      </c>
      <c r="C36" s="5" t="s">
        <v>180</v>
      </c>
      <c r="D36" s="5" t="s">
        <v>11</v>
      </c>
      <c r="E36" s="5" t="s">
        <v>181</v>
      </c>
      <c r="F36" s="8" t="s">
        <v>182</v>
      </c>
      <c r="G36" s="1">
        <v>1.01</v>
      </c>
      <c r="H36" s="5">
        <v>1</v>
      </c>
      <c r="I36" s="1">
        <f t="shared" si="2"/>
        <v>1.01</v>
      </c>
      <c r="K36" t="s">
        <v>183</v>
      </c>
      <c r="L36" t="s">
        <v>419</v>
      </c>
    </row>
    <row r="37" spans="1:12" x14ac:dyDescent="0.25">
      <c r="A37" s="5" t="s">
        <v>407</v>
      </c>
      <c r="B37" t="s">
        <v>407</v>
      </c>
      <c r="C37" s="5" t="s">
        <v>408</v>
      </c>
      <c r="D37" s="5" t="s">
        <v>11</v>
      </c>
      <c r="E37" s="5" t="s">
        <v>409</v>
      </c>
      <c r="F37" s="8" t="s">
        <v>410</v>
      </c>
      <c r="G37" s="1">
        <v>3.31</v>
      </c>
      <c r="H37" s="5">
        <v>1</v>
      </c>
      <c r="I37" s="1">
        <f t="shared" si="2"/>
        <v>3.31</v>
      </c>
      <c r="K37" t="s">
        <v>411</v>
      </c>
      <c r="L37" t="s">
        <v>419</v>
      </c>
    </row>
    <row r="38" spans="1:12" x14ac:dyDescent="0.25">
      <c r="A38" s="5" t="s">
        <v>186</v>
      </c>
      <c r="B38" t="s">
        <v>186</v>
      </c>
      <c r="C38" s="5" t="s">
        <v>187</v>
      </c>
      <c r="D38" s="5" t="s">
        <v>11</v>
      </c>
      <c r="E38" s="5" t="s">
        <v>188</v>
      </c>
      <c r="F38" s="8" t="s">
        <v>189</v>
      </c>
      <c r="G38" s="1">
        <v>0.96799999999999997</v>
      </c>
      <c r="H38" s="5">
        <v>3</v>
      </c>
      <c r="I38" s="1">
        <f t="shared" si="2"/>
        <v>2.9039999999999999</v>
      </c>
      <c r="J38" t="s">
        <v>204</v>
      </c>
      <c r="K38" t="s">
        <v>199</v>
      </c>
      <c r="L38" t="s">
        <v>419</v>
      </c>
    </row>
    <row r="39" spans="1:12" x14ac:dyDescent="0.25">
      <c r="A39" s="5" t="s">
        <v>200</v>
      </c>
      <c r="B39" t="s">
        <v>200</v>
      </c>
      <c r="C39" s="5" t="s">
        <v>110</v>
      </c>
      <c r="D39" s="5" t="s">
        <v>11</v>
      </c>
      <c r="E39" s="5" t="s">
        <v>201</v>
      </c>
      <c r="F39" s="8" t="s">
        <v>202</v>
      </c>
      <c r="G39" s="1">
        <v>0.32300000000000001</v>
      </c>
      <c r="H39" s="5">
        <v>1</v>
      </c>
      <c r="I39" s="1">
        <f t="shared" si="2"/>
        <v>0.32300000000000001</v>
      </c>
      <c r="J39" t="s">
        <v>203</v>
      </c>
      <c r="K39" t="s">
        <v>205</v>
      </c>
      <c r="L39" t="s">
        <v>419</v>
      </c>
    </row>
    <row r="40" spans="1:12" x14ac:dyDescent="0.25">
      <c r="A40" s="5" t="s">
        <v>209</v>
      </c>
      <c r="B40" t="s">
        <v>209</v>
      </c>
      <c r="C40" s="5" t="s">
        <v>210</v>
      </c>
      <c r="D40" s="5" t="s">
        <v>11</v>
      </c>
      <c r="E40" s="5" t="s">
        <v>208</v>
      </c>
      <c r="F40" s="3" t="s">
        <v>207</v>
      </c>
      <c r="G40" s="1">
        <v>0.77700000000000002</v>
      </c>
      <c r="H40" s="5">
        <v>1</v>
      </c>
      <c r="I40" s="1">
        <f t="shared" si="2"/>
        <v>0.77700000000000002</v>
      </c>
      <c r="J40" t="s">
        <v>211</v>
      </c>
      <c r="K40" t="s">
        <v>212</v>
      </c>
      <c r="L40" t="s">
        <v>419</v>
      </c>
    </row>
    <row r="41" spans="1:12" x14ac:dyDescent="0.25">
      <c r="A41" s="5" t="s">
        <v>213</v>
      </c>
      <c r="B41" t="s">
        <v>213</v>
      </c>
      <c r="C41" s="5" t="s">
        <v>214</v>
      </c>
      <c r="D41" s="5" t="s">
        <v>11</v>
      </c>
      <c r="E41" s="5" t="s">
        <v>215</v>
      </c>
      <c r="F41" s="8" t="s">
        <v>216</v>
      </c>
      <c r="G41" s="1">
        <v>0.71799999999999997</v>
      </c>
      <c r="H41" s="5">
        <v>1</v>
      </c>
      <c r="I41" s="1">
        <f t="shared" si="2"/>
        <v>0.71799999999999997</v>
      </c>
      <c r="K41" t="s">
        <v>217</v>
      </c>
      <c r="L41" t="s">
        <v>419</v>
      </c>
    </row>
    <row r="42" spans="1:12" x14ac:dyDescent="0.25">
      <c r="A42" s="5" t="s">
        <v>218</v>
      </c>
      <c r="B42" t="s">
        <v>218</v>
      </c>
      <c r="C42" s="5" t="s">
        <v>219</v>
      </c>
      <c r="D42" s="5" t="s">
        <v>11</v>
      </c>
      <c r="E42" s="5" t="s">
        <v>220</v>
      </c>
      <c r="F42" s="8" t="s">
        <v>221</v>
      </c>
      <c r="G42" s="1">
        <v>0.45400000000000001</v>
      </c>
      <c r="H42" s="5">
        <v>1</v>
      </c>
      <c r="I42" s="1">
        <f t="shared" si="2"/>
        <v>0.45400000000000001</v>
      </c>
      <c r="J42" t="s">
        <v>251</v>
      </c>
      <c r="K42" t="s">
        <v>227</v>
      </c>
      <c r="L42" t="s">
        <v>419</v>
      </c>
    </row>
    <row r="43" spans="1:12" x14ac:dyDescent="0.25">
      <c r="A43" s="5" t="s">
        <v>394</v>
      </c>
      <c r="B43" t="s">
        <v>394</v>
      </c>
      <c r="C43" s="5" t="s">
        <v>395</v>
      </c>
      <c r="D43" s="5" t="s">
        <v>11</v>
      </c>
      <c r="E43" s="5" t="s">
        <v>396</v>
      </c>
      <c r="F43" s="8" t="s">
        <v>397</v>
      </c>
      <c r="G43" s="1">
        <v>1.03</v>
      </c>
      <c r="H43" s="5">
        <v>2</v>
      </c>
      <c r="I43" s="1">
        <f t="shared" si="2"/>
        <v>2.06</v>
      </c>
      <c r="J43" t="s">
        <v>226</v>
      </c>
      <c r="K43" t="s">
        <v>239</v>
      </c>
      <c r="L43" t="s">
        <v>419</v>
      </c>
    </row>
    <row r="44" spans="1:12" x14ac:dyDescent="0.25">
      <c r="A44" s="5" t="s">
        <v>398</v>
      </c>
      <c r="B44" t="s">
        <v>398</v>
      </c>
      <c r="C44" s="5" t="s">
        <v>399</v>
      </c>
      <c r="D44" s="5" t="s">
        <v>11</v>
      </c>
      <c r="E44" s="5" t="s">
        <v>400</v>
      </c>
      <c r="F44" s="8" t="s">
        <v>401</v>
      </c>
      <c r="G44" s="1">
        <v>0.38100000000000001</v>
      </c>
      <c r="H44" s="5">
        <v>1</v>
      </c>
      <c r="I44" s="1">
        <f t="shared" si="2"/>
        <v>0.38100000000000001</v>
      </c>
      <c r="J44" t="s">
        <v>232</v>
      </c>
      <c r="K44" t="s">
        <v>246</v>
      </c>
      <c r="L44" t="s">
        <v>419</v>
      </c>
    </row>
    <row r="45" spans="1:12" x14ac:dyDescent="0.25">
      <c r="A45" s="5" t="s">
        <v>233</v>
      </c>
      <c r="B45" t="s">
        <v>233</v>
      </c>
      <c r="C45" s="5" t="s">
        <v>234</v>
      </c>
      <c r="D45" s="5" t="s">
        <v>11</v>
      </c>
      <c r="E45" s="5" t="s">
        <v>235</v>
      </c>
      <c r="F45" s="8" t="s">
        <v>236</v>
      </c>
      <c r="G45" s="1">
        <v>0.92400000000000004</v>
      </c>
      <c r="H45" s="5">
        <v>1</v>
      </c>
      <c r="I45" s="1">
        <f t="shared" si="2"/>
        <v>0.92400000000000004</v>
      </c>
      <c r="J45" t="s">
        <v>237</v>
      </c>
      <c r="K45" t="s">
        <v>238</v>
      </c>
      <c r="L45" t="s">
        <v>419</v>
      </c>
    </row>
    <row r="46" spans="1:12" x14ac:dyDescent="0.25">
      <c r="A46" s="5" t="s">
        <v>242</v>
      </c>
      <c r="B46" t="s">
        <v>242</v>
      </c>
      <c r="C46" s="5" t="s">
        <v>243</v>
      </c>
      <c r="D46" s="5" t="s">
        <v>11</v>
      </c>
      <c r="E46" s="5" t="s">
        <v>244</v>
      </c>
      <c r="F46" s="3" t="s">
        <v>241</v>
      </c>
      <c r="G46" s="1">
        <v>0.60099999999999998</v>
      </c>
      <c r="H46" s="5">
        <v>1</v>
      </c>
      <c r="I46" s="1">
        <f t="shared" si="2"/>
        <v>0.60099999999999998</v>
      </c>
      <c r="K46" t="s">
        <v>245</v>
      </c>
      <c r="L46" t="s">
        <v>419</v>
      </c>
    </row>
    <row r="47" spans="1:12" x14ac:dyDescent="0.25">
      <c r="A47" s="5" t="s">
        <v>247</v>
      </c>
      <c r="B47" t="s">
        <v>247</v>
      </c>
      <c r="C47" s="5" t="s">
        <v>248</v>
      </c>
      <c r="D47" s="5" t="s">
        <v>11</v>
      </c>
      <c r="E47" s="5" t="s">
        <v>249</v>
      </c>
      <c r="F47" s="8" t="s">
        <v>250</v>
      </c>
      <c r="G47" s="1">
        <v>0.20499999999999999</v>
      </c>
      <c r="H47" s="5">
        <v>1</v>
      </c>
      <c r="I47" s="1">
        <f t="shared" si="2"/>
        <v>0.20499999999999999</v>
      </c>
      <c r="J47" t="s">
        <v>252</v>
      </c>
      <c r="K47" t="s">
        <v>253</v>
      </c>
      <c r="L47" t="s">
        <v>419</v>
      </c>
    </row>
    <row r="48" spans="1:12" x14ac:dyDescent="0.25">
      <c r="A48" s="5" t="s">
        <v>351</v>
      </c>
      <c r="B48" t="s">
        <v>351</v>
      </c>
      <c r="C48" s="5" t="s">
        <v>248</v>
      </c>
      <c r="D48" s="5" t="s">
        <v>11</v>
      </c>
      <c r="E48" s="5" t="s">
        <v>352</v>
      </c>
      <c r="F48" s="8" t="s">
        <v>353</v>
      </c>
      <c r="G48" s="1">
        <v>0.29299999999999998</v>
      </c>
      <c r="H48" s="5">
        <v>1</v>
      </c>
      <c r="I48" s="1">
        <f t="shared" si="2"/>
        <v>0.29299999999999998</v>
      </c>
      <c r="J48" t="s">
        <v>354</v>
      </c>
      <c r="K48" t="s">
        <v>259</v>
      </c>
      <c r="L48" t="s">
        <v>419</v>
      </c>
    </row>
    <row r="49" spans="1:12" x14ac:dyDescent="0.25">
      <c r="A49" s="5" t="s">
        <v>326</v>
      </c>
      <c r="B49" t="s">
        <v>326</v>
      </c>
      <c r="C49" s="5" t="s">
        <v>327</v>
      </c>
      <c r="D49" s="5" t="s">
        <v>11</v>
      </c>
      <c r="E49" s="5" t="s">
        <v>328</v>
      </c>
      <c r="F49" s="8" t="s">
        <v>329</v>
      </c>
      <c r="G49" s="1">
        <v>1.03</v>
      </c>
      <c r="H49" s="5">
        <v>1</v>
      </c>
      <c r="I49" s="1">
        <f t="shared" si="2"/>
        <v>1.03</v>
      </c>
      <c r="K49" t="s">
        <v>264</v>
      </c>
      <c r="L49" t="s">
        <v>419</v>
      </c>
    </row>
    <row r="50" spans="1:12" x14ac:dyDescent="0.25">
      <c r="A50" s="5" t="s">
        <v>266</v>
      </c>
      <c r="B50" t="s">
        <v>266</v>
      </c>
      <c r="C50" s="5" t="s">
        <v>267</v>
      </c>
      <c r="D50" s="5" t="s">
        <v>11</v>
      </c>
      <c r="E50" s="5" t="s">
        <v>268</v>
      </c>
      <c r="F50" s="8" t="s">
        <v>269</v>
      </c>
      <c r="G50" s="1">
        <v>0.38100000000000001</v>
      </c>
      <c r="H50" s="5">
        <v>1</v>
      </c>
      <c r="I50" s="1">
        <f t="shared" si="2"/>
        <v>0.38100000000000001</v>
      </c>
      <c r="J50" t="s">
        <v>270</v>
      </c>
      <c r="K50" t="s">
        <v>271</v>
      </c>
      <c r="L50" t="s">
        <v>419</v>
      </c>
    </row>
    <row r="51" spans="1:12" x14ac:dyDescent="0.25">
      <c r="A51" s="5" t="s">
        <v>272</v>
      </c>
      <c r="B51" t="s">
        <v>272</v>
      </c>
      <c r="C51" s="5" t="s">
        <v>273</v>
      </c>
      <c r="D51" s="5" t="s">
        <v>11</v>
      </c>
      <c r="E51" s="5" t="s">
        <v>274</v>
      </c>
      <c r="F51" s="8" t="s">
        <v>275</v>
      </c>
      <c r="G51" s="1">
        <v>0.42499999999999999</v>
      </c>
      <c r="H51" s="5">
        <v>1</v>
      </c>
      <c r="I51" s="1">
        <f t="shared" si="2"/>
        <v>0.42499999999999999</v>
      </c>
      <c r="K51" t="s">
        <v>276</v>
      </c>
      <c r="L51" t="s">
        <v>419</v>
      </c>
    </row>
    <row r="52" spans="1:12" x14ac:dyDescent="0.25">
      <c r="A52" s="5" t="s">
        <v>277</v>
      </c>
      <c r="B52" t="s">
        <v>277</v>
      </c>
      <c r="C52" s="5" t="s">
        <v>278</v>
      </c>
      <c r="D52" s="5" t="s">
        <v>11</v>
      </c>
      <c r="E52" s="5" t="s">
        <v>279</v>
      </c>
      <c r="F52" s="8" t="s">
        <v>280</v>
      </c>
      <c r="G52" s="1">
        <v>0.748</v>
      </c>
      <c r="H52" s="5">
        <v>1</v>
      </c>
      <c r="I52" s="1">
        <f t="shared" si="2"/>
        <v>0.748</v>
      </c>
      <c r="K52" t="s">
        <v>281</v>
      </c>
      <c r="L52" t="s">
        <v>419</v>
      </c>
    </row>
    <row r="53" spans="1:12" x14ac:dyDescent="0.25">
      <c r="A53" s="5" t="s">
        <v>282</v>
      </c>
      <c r="B53" t="s">
        <v>282</v>
      </c>
      <c r="C53" s="5" t="s">
        <v>284</v>
      </c>
      <c r="D53" s="5" t="s">
        <v>11</v>
      </c>
      <c r="E53" s="5" t="s">
        <v>283</v>
      </c>
      <c r="F53" s="8" t="s">
        <v>285</v>
      </c>
      <c r="G53" s="1">
        <v>0.20499999999999999</v>
      </c>
      <c r="H53" s="5">
        <v>3</v>
      </c>
      <c r="I53" s="1">
        <f t="shared" si="2"/>
        <v>0.61499999999999999</v>
      </c>
      <c r="J53" t="s">
        <v>286</v>
      </c>
      <c r="K53" t="s">
        <v>287</v>
      </c>
      <c r="L53" t="s">
        <v>419</v>
      </c>
    </row>
    <row r="54" spans="1:12" x14ac:dyDescent="0.25">
      <c r="A54" s="5" t="s">
        <v>289</v>
      </c>
      <c r="B54" t="s">
        <v>289</v>
      </c>
      <c r="C54" s="5" t="s">
        <v>290</v>
      </c>
      <c r="D54" s="5" t="s">
        <v>11</v>
      </c>
      <c r="E54" s="5" t="s">
        <v>291</v>
      </c>
      <c r="F54" s="8" t="s">
        <v>292</v>
      </c>
      <c r="G54" s="1">
        <v>0.64500000000000002</v>
      </c>
      <c r="H54" s="5">
        <v>1</v>
      </c>
      <c r="I54" s="1">
        <f t="shared" si="2"/>
        <v>0.64500000000000002</v>
      </c>
      <c r="K54" t="s">
        <v>293</v>
      </c>
      <c r="L54" t="s">
        <v>419</v>
      </c>
    </row>
    <row r="55" spans="1:12" x14ac:dyDescent="0.25">
      <c r="A55" s="5" t="s">
        <v>296</v>
      </c>
      <c r="B55" t="s">
        <v>296</v>
      </c>
      <c r="C55" s="5" t="s">
        <v>297</v>
      </c>
      <c r="D55" s="5" t="s">
        <v>11</v>
      </c>
      <c r="E55" s="5" t="s">
        <v>298</v>
      </c>
      <c r="F55" s="8" t="s">
        <v>299</v>
      </c>
      <c r="G55" s="1">
        <v>0.27900000000000003</v>
      </c>
      <c r="H55" s="5">
        <v>1</v>
      </c>
      <c r="I55" s="1">
        <f t="shared" si="2"/>
        <v>0.27900000000000003</v>
      </c>
      <c r="J55" t="s">
        <v>300</v>
      </c>
      <c r="K55" t="s">
        <v>301</v>
      </c>
      <c r="L55" t="s">
        <v>419</v>
      </c>
    </row>
    <row r="56" spans="1:12" x14ac:dyDescent="0.25">
      <c r="A56" s="5" t="s">
        <v>330</v>
      </c>
      <c r="B56" t="s">
        <v>330</v>
      </c>
      <c r="C56" s="5" t="s">
        <v>331</v>
      </c>
      <c r="D56" s="5" t="s">
        <v>11</v>
      </c>
      <c r="E56" s="5" t="s">
        <v>332</v>
      </c>
      <c r="F56" s="3" t="s">
        <v>333</v>
      </c>
      <c r="G56" s="1">
        <v>0.60099999999999998</v>
      </c>
      <c r="H56" s="5">
        <v>1</v>
      </c>
      <c r="I56" s="1">
        <f t="shared" si="2"/>
        <v>0.60099999999999998</v>
      </c>
      <c r="K56" t="s">
        <v>308</v>
      </c>
      <c r="L56" t="s">
        <v>419</v>
      </c>
    </row>
    <row r="57" spans="1:12" x14ac:dyDescent="0.25">
      <c r="A57" s="5" t="s">
        <v>412</v>
      </c>
      <c r="B57" t="s">
        <v>412</v>
      </c>
      <c r="C57" s="5" t="s">
        <v>413</v>
      </c>
      <c r="D57" s="5" t="s">
        <v>11</v>
      </c>
      <c r="E57" s="5" t="s">
        <v>414</v>
      </c>
      <c r="F57" s="8" t="s">
        <v>415</v>
      </c>
      <c r="G57" s="1">
        <v>3.68</v>
      </c>
      <c r="H57" s="5">
        <v>1</v>
      </c>
      <c r="I57" s="1">
        <f t="shared" si="2"/>
        <v>3.68</v>
      </c>
      <c r="J57" t="s">
        <v>417</v>
      </c>
      <c r="K57" t="s">
        <v>416</v>
      </c>
      <c r="L57" t="s">
        <v>419</v>
      </c>
    </row>
    <row r="59" spans="1:12" x14ac:dyDescent="0.25">
      <c r="H59" t="s">
        <v>99</v>
      </c>
      <c r="I59" s="1">
        <f>SUM(I2:I57)</f>
        <v>259.16100000000006</v>
      </c>
    </row>
  </sheetData>
  <conditionalFormatting sqref="L2:L57">
    <cfRule type="cellIs" dxfId="5" priority="1" operator="equal">
      <formula>"YES"</formula>
    </cfRule>
    <cfRule type="cellIs" dxfId="4" priority="2" operator="equal">
      <formula>"NO"</formula>
    </cfRule>
  </conditionalFormatting>
  <hyperlinks>
    <hyperlink ref="F2" r:id="rId1" xr:uid="{ECE1B694-E802-4F08-A522-545B59608ED3}"/>
    <hyperlink ref="F3" r:id="rId2" xr:uid="{8373838A-D6F3-48EB-B978-1C96FBEE2775}"/>
    <hyperlink ref="F5" r:id="rId3" xr:uid="{7A7E3B3D-C2D1-40B5-806F-308D3F28340F}"/>
    <hyperlink ref="F6" r:id="rId4" xr:uid="{D31E9215-212E-4C3A-8B54-E7E55C5AE23C}"/>
    <hyperlink ref="F7" r:id="rId5" xr:uid="{AA642D52-75FB-4CF3-A48A-FA3B7250083F}"/>
    <hyperlink ref="F8" r:id="rId6" xr:uid="{FE1101AC-684D-443C-9889-8B28CEEFA05B}"/>
    <hyperlink ref="F9" r:id="rId7" xr:uid="{B3844C7C-1BFD-4AA7-8E33-5C4DCA6A7243}"/>
    <hyperlink ref="F10" r:id="rId8" xr:uid="{AB4CDCE0-B67B-4D78-8ED8-905FBD3F88A2}"/>
    <hyperlink ref="F4" r:id="rId9" xr:uid="{0640661D-6E5B-446F-8A4A-582C6EB620E5}"/>
    <hyperlink ref="F12" r:id="rId10" xr:uid="{CE3D9A99-162A-404C-850C-0B71498C5931}"/>
    <hyperlink ref="F13" r:id="rId11" xr:uid="{7F20EE96-F858-45D9-A971-0B399E867061}"/>
    <hyperlink ref="F14" r:id="rId12" xr:uid="{304EB3B9-D594-4EA0-82E4-6659CBA8F89E}"/>
    <hyperlink ref="F11" r:id="rId13" xr:uid="{DD0C4A69-6966-47CA-A6D8-9345115B0EB2}"/>
    <hyperlink ref="F15" r:id="rId14" xr:uid="{2CC5101E-25C7-41D7-A350-EAE50C346428}"/>
    <hyperlink ref="F16" r:id="rId15" xr:uid="{688A2A9B-DED8-49AB-B221-BDD3E1A7E7A6}"/>
    <hyperlink ref="F17" r:id="rId16" xr:uid="{21DC193E-AE98-47AE-8D1B-0081FD769069}"/>
    <hyperlink ref="F18" r:id="rId17" xr:uid="{46812AD5-94DE-48FC-81CE-65B398CE5025}"/>
    <hyperlink ref="F20" r:id="rId18" xr:uid="{6F503DE6-14EA-418D-A69E-D83D53F422A9}"/>
    <hyperlink ref="F21" r:id="rId19" xr:uid="{A8F6FE9F-9FE5-49D2-892F-695230A70B5F}"/>
    <hyperlink ref="F22" r:id="rId20" xr:uid="{A6100F8A-9CBC-49B4-9B66-61C8A8115BA6}"/>
    <hyperlink ref="F23" r:id="rId21" xr:uid="{89802592-1353-4D34-B21A-2561D808955C}"/>
    <hyperlink ref="F24" r:id="rId22" xr:uid="{386A2E4F-B308-4829-A936-0709A18B9706}"/>
    <hyperlink ref="F26" r:id="rId23" xr:uid="{DBEF5E9D-3588-4BFD-BCF1-9EF525BDF7FC}"/>
    <hyperlink ref="F28" r:id="rId24" xr:uid="{15777BF8-C28C-4D44-8F92-61BA80516B33}"/>
    <hyperlink ref="F25" r:id="rId25" xr:uid="{5130B327-1090-4ED8-8021-D291A27EAE72}"/>
    <hyperlink ref="F29" r:id="rId26" xr:uid="{2ACAF429-0149-4E7F-963C-1DDA6C6608CC}"/>
    <hyperlink ref="F30" r:id="rId27" xr:uid="{86B62D8D-E7B8-4D50-AC07-4EE339C66657}"/>
    <hyperlink ref="F31" r:id="rId28" xr:uid="{BBC05BA2-0129-4D18-900E-B8AF22410CE2}"/>
    <hyperlink ref="F32" r:id="rId29" display="https://au.rs-online.com/web/p/pcb-headers/7521797p?cm_mmc=AU-PPC-DS3A-_-google-_-3_AU_EN_Connectors_PCB+Headers_JST_Phrase-_-JST+-+7521797P+-+SM04B-GHS-TB(LF)(SN)-_-sm04b+ghs+tb+lf+sn&amp;matchtype=p&amp;aud-828197004210:kwd-349737151659&amp;gclid=EAIaIQobChMI1ITwjq7-9wIVFBwrCh09SQ1AEAAYAiAAEgIOBfD_BwE&amp;gclsrc=aw.ds" xr:uid="{A0F6FB4B-65ED-46CE-A321-C67C5F54562D}"/>
    <hyperlink ref="F33" r:id="rId30" xr:uid="{F96964B4-4549-41C9-914D-B19187AAE43B}"/>
    <hyperlink ref="F34" r:id="rId31" display="https://au.rs-online.com/web/p/pcb-headers/7521807p?cm_mmc=AU-PPC-DS3A-_-google-_-3_AU_EN_Connectors_PCB+Headers_JST_Phrase-_-JST+-+7521807P+-+SM05B-GHS-TB(LF)(SN)-_-sm05b+ghs+tb+lf+sn&amp;matchtype=p&amp;aud-821594433763:kwd-383463479017&amp;gclid=EAIaIQobChMI7JqB-rP-9wIVtZNmAh2j4w0kEAAYAyAAEgJjvvD_BwE&amp;gclsrc=aw.ds" xr:uid="{2CCF6C0A-CB36-4D8A-AEC1-772E1E43AF76}"/>
    <hyperlink ref="F35" r:id="rId32" xr:uid="{4359C824-15CD-489C-93FA-9729E17BC53A}"/>
    <hyperlink ref="F36" r:id="rId33" xr:uid="{4D43BAB2-8DE2-4B61-B8E1-D67524E42252}"/>
    <hyperlink ref="F38" r:id="rId34" xr:uid="{2C4CFDF0-19ED-4AEC-B33C-5315A28A1B9F}"/>
    <hyperlink ref="F39" r:id="rId35" xr:uid="{452E49ED-78AA-487E-98CA-D0CC2A390AB9}"/>
    <hyperlink ref="F40" r:id="rId36" xr:uid="{1BE68FD2-E092-452C-868C-34E05F3C3ADB}"/>
    <hyperlink ref="F41" r:id="rId37" xr:uid="{3A81203E-8398-443C-9DCA-CE0D867E0122}"/>
    <hyperlink ref="F42" r:id="rId38" xr:uid="{9A95A12A-61CA-4750-96F7-1243A9A85304}"/>
    <hyperlink ref="F43" r:id="rId39" xr:uid="{EF170AFD-6D10-4A94-BEB0-FB675060BB00}"/>
    <hyperlink ref="F44" r:id="rId40" xr:uid="{F87421CB-0083-480A-A37F-055DC44EF637}"/>
    <hyperlink ref="F45" r:id="rId41" xr:uid="{E760F49A-8084-4EF8-8032-DC4A6E6A41D2}"/>
    <hyperlink ref="F46" r:id="rId42" xr:uid="{2D0C32AA-8485-41C8-8B3D-B49E77E518AC}"/>
    <hyperlink ref="F47" r:id="rId43" xr:uid="{24186FD3-5590-4327-B62C-B85422B5CA19}"/>
    <hyperlink ref="F48" r:id="rId44" xr:uid="{29E465FB-1146-4180-999C-D4BEEBBFFE16}"/>
    <hyperlink ref="F49" r:id="rId45" xr:uid="{914B01C9-F1A2-4DB9-9B02-37D70DD8EAF7}"/>
    <hyperlink ref="F50" r:id="rId46" xr:uid="{B8FE841E-B6DF-4B2D-AD3F-7C41ABE5539D}"/>
    <hyperlink ref="F51" r:id="rId47" xr:uid="{B9D029AD-0D3B-41BD-A081-6FFD854BD1C5}"/>
    <hyperlink ref="F52" r:id="rId48" xr:uid="{5BC43862-1621-480C-BF37-FA067F62ACCC}"/>
    <hyperlink ref="F53" r:id="rId49" xr:uid="{1AFC4CA9-0DEF-4B96-900F-07393FC9B81C}"/>
    <hyperlink ref="F54" r:id="rId50" xr:uid="{222C0A57-781C-4F00-9E1B-C6BEEB51081E}"/>
    <hyperlink ref="F55" r:id="rId51" xr:uid="{92809164-9164-45AF-8E34-EFC498E2C355}"/>
    <hyperlink ref="F56" r:id="rId52" xr:uid="{9974F990-8253-4FA2-8A8D-C200456B6EB6}"/>
    <hyperlink ref="F19" r:id="rId53" xr:uid="{77CB2E52-4941-439F-A2AC-04452CA6F1A0}"/>
    <hyperlink ref="F27" r:id="rId54" xr:uid="{0AE819A1-1E17-4FC1-9658-E57A642FB026}"/>
    <hyperlink ref="F37" r:id="rId55" xr:uid="{E7115C31-EC6B-4D7F-B760-1142FCEFD480}"/>
    <hyperlink ref="F57" r:id="rId56" xr:uid="{1AD81A8B-D805-4240-B114-83D8653C414D}"/>
  </hyperlinks>
  <pageMargins left="0.7" right="0.7" top="0.75" bottom="0.75" header="0.3" footer="0.3"/>
  <pageSetup paperSize="9" orientation="portrait" r:id="rId5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E26AB-BCA7-47D8-8620-239BEF178008}">
  <dimension ref="A1:N63"/>
  <sheetViews>
    <sheetView tabSelected="1" topLeftCell="B19" zoomScale="59" zoomScaleNormal="59" workbookViewId="0">
      <selection activeCell="D62" sqref="D62"/>
    </sheetView>
  </sheetViews>
  <sheetFormatPr defaultRowHeight="15" x14ac:dyDescent="0.25"/>
  <cols>
    <col min="1" max="1" width="32" customWidth="1"/>
    <col min="2" max="2" width="26.85546875" customWidth="1"/>
    <col min="3" max="3" width="66.5703125" customWidth="1"/>
    <col min="4" max="4" width="115.28515625" customWidth="1"/>
    <col min="5" max="5" width="16.140625" customWidth="1"/>
    <col min="6" max="6" width="26.140625" customWidth="1"/>
    <col min="7" max="7" width="25.140625" customWidth="1"/>
    <col min="8" max="8" width="15.7109375" style="1" customWidth="1"/>
    <col min="9" max="9" width="15.28515625" customWidth="1"/>
    <col min="10" max="10" width="14" customWidth="1"/>
    <col min="11" max="11" width="60.42578125" customWidth="1"/>
    <col min="12" max="13" width="14.28515625" bestFit="1" customWidth="1"/>
    <col min="14" max="14" width="20.28515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36</v>
      </c>
      <c r="E1" t="s">
        <v>3</v>
      </c>
      <c r="F1" t="s">
        <v>9</v>
      </c>
      <c r="G1" t="s">
        <v>4</v>
      </c>
      <c r="H1" t="s">
        <v>5</v>
      </c>
      <c r="I1" t="s">
        <v>6</v>
      </c>
      <c r="J1" t="s">
        <v>7</v>
      </c>
      <c r="K1" t="s">
        <v>14</v>
      </c>
      <c r="L1" t="s">
        <v>418</v>
      </c>
      <c r="M1" t="s">
        <v>438</v>
      </c>
      <c r="N1" t="s">
        <v>468</v>
      </c>
    </row>
    <row r="2" spans="1:14" x14ac:dyDescent="0.25">
      <c r="A2" t="s">
        <v>313</v>
      </c>
      <c r="B2" t="s">
        <v>313</v>
      </c>
      <c r="C2" t="s">
        <v>314</v>
      </c>
      <c r="D2" t="s">
        <v>365</v>
      </c>
      <c r="E2" t="s">
        <v>11</v>
      </c>
      <c r="F2" t="s">
        <v>315</v>
      </c>
      <c r="G2" s="3" t="s">
        <v>316</v>
      </c>
      <c r="H2">
        <v>0.57199999999999995</v>
      </c>
      <c r="I2">
        <v>1</v>
      </c>
      <c r="J2">
        <f t="shared" ref="J2:J33" si="0">H2*I2</f>
        <v>0.57199999999999995</v>
      </c>
      <c r="K2" s="25" t="s">
        <v>366</v>
      </c>
      <c r="L2" t="s">
        <v>425</v>
      </c>
      <c r="M2" t="s">
        <v>425</v>
      </c>
      <c r="N2" s="32" t="s">
        <v>425</v>
      </c>
    </row>
    <row r="3" spans="1:14" x14ac:dyDescent="0.25">
      <c r="A3" s="5" t="s">
        <v>412</v>
      </c>
      <c r="B3" t="s">
        <v>412</v>
      </c>
      <c r="C3" s="5" t="s">
        <v>413</v>
      </c>
      <c r="D3" s="25" t="s">
        <v>416</v>
      </c>
      <c r="E3" s="5" t="s">
        <v>11</v>
      </c>
      <c r="F3" s="5" t="s">
        <v>414</v>
      </c>
      <c r="G3" s="8" t="s">
        <v>415</v>
      </c>
      <c r="H3" s="1">
        <v>3.68</v>
      </c>
      <c r="I3" s="5">
        <v>1</v>
      </c>
      <c r="J3" s="1">
        <f t="shared" si="0"/>
        <v>3.68</v>
      </c>
      <c r="K3" t="s">
        <v>417</v>
      </c>
      <c r="L3" t="s">
        <v>425</v>
      </c>
      <c r="M3" t="s">
        <v>425</v>
      </c>
      <c r="N3" t="s">
        <v>425</v>
      </c>
    </row>
    <row r="4" spans="1:14" x14ac:dyDescent="0.25">
      <c r="A4" s="5" t="s">
        <v>360</v>
      </c>
      <c r="B4" s="7" t="s">
        <v>360</v>
      </c>
      <c r="C4" s="5" t="s">
        <v>361</v>
      </c>
      <c r="D4" t="s">
        <v>428</v>
      </c>
      <c r="E4" s="5" t="s">
        <v>11</v>
      </c>
      <c r="F4" s="5" t="s">
        <v>362</v>
      </c>
      <c r="G4" s="8" t="s">
        <v>363</v>
      </c>
      <c r="H4" s="24">
        <v>0.48399999999999999</v>
      </c>
      <c r="I4" s="5">
        <v>14</v>
      </c>
      <c r="J4" s="1">
        <f t="shared" si="0"/>
        <v>6.7759999999999998</v>
      </c>
      <c r="K4" s="5" t="s">
        <v>364</v>
      </c>
      <c r="L4" t="s">
        <v>425</v>
      </c>
      <c r="M4" t="s">
        <v>425</v>
      </c>
      <c r="N4" t="s">
        <v>425</v>
      </c>
    </row>
    <row r="5" spans="1:14" x14ac:dyDescent="0.25">
      <c r="A5" s="5" t="s">
        <v>371</v>
      </c>
      <c r="B5" t="s">
        <v>371</v>
      </c>
      <c r="C5" s="5" t="s">
        <v>372</v>
      </c>
      <c r="D5" t="s">
        <v>295</v>
      </c>
      <c r="E5" s="5" t="s">
        <v>11</v>
      </c>
      <c r="F5" s="5" t="s">
        <v>373</v>
      </c>
      <c r="G5" s="3" t="s">
        <v>374</v>
      </c>
      <c r="H5" s="1">
        <v>0.748</v>
      </c>
      <c r="I5" s="5">
        <v>3</v>
      </c>
      <c r="J5" s="1">
        <f t="shared" si="0"/>
        <v>2.2439999999999998</v>
      </c>
      <c r="K5" s="5" t="s">
        <v>375</v>
      </c>
      <c r="L5" t="s">
        <v>425</v>
      </c>
      <c r="M5" t="s">
        <v>425</v>
      </c>
      <c r="N5" t="s">
        <v>425</v>
      </c>
    </row>
    <row r="6" spans="1:14" x14ac:dyDescent="0.25">
      <c r="A6" s="5" t="s">
        <v>377</v>
      </c>
      <c r="B6" t="s">
        <v>377</v>
      </c>
      <c r="C6" s="5" t="s">
        <v>378</v>
      </c>
      <c r="D6" t="s">
        <v>61</v>
      </c>
      <c r="E6" s="5" t="s">
        <v>11</v>
      </c>
      <c r="F6" s="5" t="s">
        <v>379</v>
      </c>
      <c r="G6" s="3" t="s">
        <v>380</v>
      </c>
      <c r="H6" s="1">
        <v>1.72</v>
      </c>
      <c r="I6" s="5">
        <v>1</v>
      </c>
      <c r="J6" s="1">
        <f t="shared" si="0"/>
        <v>1.72</v>
      </c>
      <c r="K6" s="5" t="s">
        <v>376</v>
      </c>
      <c r="L6" t="s">
        <v>425</v>
      </c>
      <c r="M6" t="s">
        <v>425</v>
      </c>
      <c r="N6" t="s">
        <v>425</v>
      </c>
    </row>
    <row r="7" spans="1:14" x14ac:dyDescent="0.25">
      <c r="A7" s="5" t="s">
        <v>31</v>
      </c>
      <c r="B7" t="s">
        <v>31</v>
      </c>
      <c r="C7" s="5" t="s">
        <v>32</v>
      </c>
      <c r="D7" t="s">
        <v>429</v>
      </c>
      <c r="E7" s="5" t="s">
        <v>11</v>
      </c>
      <c r="F7" s="5" t="s">
        <v>33</v>
      </c>
      <c r="G7" s="8" t="s">
        <v>34</v>
      </c>
      <c r="H7" s="1">
        <v>0.191</v>
      </c>
      <c r="I7" s="5">
        <v>20</v>
      </c>
      <c r="J7" s="1">
        <f t="shared" si="0"/>
        <v>3.8200000000000003</v>
      </c>
      <c r="K7" s="5" t="s">
        <v>288</v>
      </c>
      <c r="L7" t="s">
        <v>425</v>
      </c>
      <c r="M7" t="s">
        <v>425</v>
      </c>
      <c r="N7" t="s">
        <v>425</v>
      </c>
    </row>
    <row r="8" spans="1:14" x14ac:dyDescent="0.25">
      <c r="A8" s="5" t="s">
        <v>79</v>
      </c>
      <c r="B8" t="s">
        <v>79</v>
      </c>
      <c r="C8" s="5" t="s">
        <v>78</v>
      </c>
      <c r="D8" t="s">
        <v>82</v>
      </c>
      <c r="E8" s="5" t="s">
        <v>11</v>
      </c>
      <c r="F8" s="5" t="s">
        <v>80</v>
      </c>
      <c r="G8" s="8" t="s">
        <v>81</v>
      </c>
      <c r="H8" s="1">
        <v>0.23499999999999999</v>
      </c>
      <c r="I8" s="5">
        <v>1</v>
      </c>
      <c r="J8" s="1">
        <f t="shared" si="0"/>
        <v>0.23499999999999999</v>
      </c>
      <c r="K8" t="s">
        <v>381</v>
      </c>
      <c r="L8" t="s">
        <v>425</v>
      </c>
      <c r="M8" t="s">
        <v>425</v>
      </c>
      <c r="N8" t="s">
        <v>425</v>
      </c>
    </row>
    <row r="9" spans="1:14" x14ac:dyDescent="0.25">
      <c r="A9" s="5" t="s">
        <v>322</v>
      </c>
      <c r="B9" t="s">
        <v>322</v>
      </c>
      <c r="C9" s="5" t="s">
        <v>323</v>
      </c>
      <c r="D9" t="s">
        <v>185</v>
      </c>
      <c r="E9" s="5" t="s">
        <v>11</v>
      </c>
      <c r="F9" s="5" t="s">
        <v>324</v>
      </c>
      <c r="G9" s="8" t="s">
        <v>325</v>
      </c>
      <c r="H9" s="1">
        <v>0.71799999999999997</v>
      </c>
      <c r="I9" s="5">
        <v>2</v>
      </c>
      <c r="J9" s="1">
        <f t="shared" si="0"/>
        <v>1.4359999999999999</v>
      </c>
      <c r="K9" t="s">
        <v>382</v>
      </c>
      <c r="L9" t="s">
        <v>425</v>
      </c>
      <c r="M9" t="s">
        <v>425</v>
      </c>
      <c r="N9" t="s">
        <v>425</v>
      </c>
    </row>
    <row r="10" spans="1:14" x14ac:dyDescent="0.25">
      <c r="A10" s="5" t="s">
        <v>23</v>
      </c>
      <c r="B10" s="5" t="s">
        <v>23</v>
      </c>
      <c r="C10" s="5" t="s">
        <v>24</v>
      </c>
      <c r="D10" t="s">
        <v>348</v>
      </c>
      <c r="E10" s="5" t="s">
        <v>11</v>
      </c>
      <c r="F10" s="5" t="s">
        <v>25</v>
      </c>
      <c r="G10" s="8" t="s">
        <v>26</v>
      </c>
      <c r="H10" s="24">
        <v>0.70399999999999996</v>
      </c>
      <c r="I10" s="5">
        <v>2</v>
      </c>
      <c r="J10" s="1">
        <f t="shared" si="0"/>
        <v>1.4079999999999999</v>
      </c>
      <c r="K10" s="5" t="s">
        <v>136</v>
      </c>
      <c r="L10" t="s">
        <v>425</v>
      </c>
      <c r="M10" t="s">
        <v>425</v>
      </c>
      <c r="N10" t="s">
        <v>425</v>
      </c>
    </row>
    <row r="11" spans="1:14" x14ac:dyDescent="0.25">
      <c r="A11" s="5" t="s">
        <v>390</v>
      </c>
      <c r="B11" t="s">
        <v>390</v>
      </c>
      <c r="C11" s="5" t="s">
        <v>391</v>
      </c>
      <c r="D11" t="s">
        <v>134</v>
      </c>
      <c r="E11" s="5" t="s">
        <v>11</v>
      </c>
      <c r="F11" s="5" t="s">
        <v>392</v>
      </c>
      <c r="G11" s="3" t="s">
        <v>393</v>
      </c>
      <c r="H11" s="1">
        <v>0.14699999999999999</v>
      </c>
      <c r="I11" s="5">
        <v>2</v>
      </c>
      <c r="J11" s="1">
        <f t="shared" si="0"/>
        <v>0.29399999999999998</v>
      </c>
      <c r="K11" t="s">
        <v>142</v>
      </c>
      <c r="L11" t="s">
        <v>425</v>
      </c>
      <c r="M11" t="s">
        <v>425</v>
      </c>
      <c r="N11" t="s">
        <v>425</v>
      </c>
    </row>
    <row r="12" spans="1:14" x14ac:dyDescent="0.25">
      <c r="A12" s="5" t="s">
        <v>394</v>
      </c>
      <c r="B12" t="s">
        <v>394</v>
      </c>
      <c r="C12" s="5" t="s">
        <v>395</v>
      </c>
      <c r="D12" t="s">
        <v>445</v>
      </c>
      <c r="E12" s="5" t="s">
        <v>11</v>
      </c>
      <c r="F12" s="5" t="s">
        <v>396</v>
      </c>
      <c r="G12" s="8" t="s">
        <v>397</v>
      </c>
      <c r="H12" s="1">
        <v>1.03</v>
      </c>
      <c r="I12" s="5">
        <v>2</v>
      </c>
      <c r="J12" s="1">
        <f t="shared" si="0"/>
        <v>2.06</v>
      </c>
      <c r="K12" s="22" t="s">
        <v>446</v>
      </c>
      <c r="L12" t="s">
        <v>426</v>
      </c>
      <c r="M12" t="s">
        <v>419</v>
      </c>
      <c r="N12" t="s">
        <v>425</v>
      </c>
    </row>
    <row r="13" spans="1:14" x14ac:dyDescent="0.25">
      <c r="A13" s="5" t="s">
        <v>452</v>
      </c>
      <c r="B13" t="s">
        <v>452</v>
      </c>
      <c r="C13" s="5" t="s">
        <v>453</v>
      </c>
      <c r="D13" t="s">
        <v>445</v>
      </c>
      <c r="E13" s="5" t="s">
        <v>11</v>
      </c>
      <c r="F13" s="5" t="s">
        <v>454</v>
      </c>
      <c r="G13" s="8" t="s">
        <v>455</v>
      </c>
      <c r="H13" s="1">
        <v>1.01</v>
      </c>
      <c r="I13" s="5">
        <v>2</v>
      </c>
      <c r="J13" s="1">
        <f t="shared" si="0"/>
        <v>2.02</v>
      </c>
      <c r="K13" t="s">
        <v>456</v>
      </c>
      <c r="L13" t="s">
        <v>425</v>
      </c>
      <c r="M13" t="s">
        <v>425</v>
      </c>
      <c r="N13" t="s">
        <v>425</v>
      </c>
    </row>
    <row r="14" spans="1:14" x14ac:dyDescent="0.25">
      <c r="A14" s="5" t="s">
        <v>296</v>
      </c>
      <c r="B14" t="s">
        <v>296</v>
      </c>
      <c r="C14" s="5" t="s">
        <v>297</v>
      </c>
      <c r="D14" t="s">
        <v>301</v>
      </c>
      <c r="E14" s="5" t="s">
        <v>11</v>
      </c>
      <c r="F14" s="5" t="s">
        <v>298</v>
      </c>
      <c r="G14" s="8" t="s">
        <v>299</v>
      </c>
      <c r="H14" s="1">
        <v>0.27900000000000003</v>
      </c>
      <c r="I14" s="5">
        <v>1</v>
      </c>
      <c r="J14" s="1">
        <f t="shared" si="0"/>
        <v>0.27900000000000003</v>
      </c>
      <c r="K14" t="s">
        <v>300</v>
      </c>
      <c r="L14" t="s">
        <v>425</v>
      </c>
      <c r="M14" t="s">
        <v>425</v>
      </c>
      <c r="N14" t="s">
        <v>425</v>
      </c>
    </row>
    <row r="15" spans="1:14" x14ac:dyDescent="0.25">
      <c r="A15" s="5" t="s">
        <v>213</v>
      </c>
      <c r="B15" t="s">
        <v>213</v>
      </c>
      <c r="C15" s="5" t="s">
        <v>214</v>
      </c>
      <c r="D15" t="s">
        <v>217</v>
      </c>
      <c r="E15" s="5" t="s">
        <v>11</v>
      </c>
      <c r="F15" s="5" t="s">
        <v>215</v>
      </c>
      <c r="G15" s="8" t="s">
        <v>216</v>
      </c>
      <c r="H15" s="1">
        <v>0.76200000000000001</v>
      </c>
      <c r="I15" s="5">
        <v>1</v>
      </c>
      <c r="J15" s="1">
        <f t="shared" si="0"/>
        <v>0.76200000000000001</v>
      </c>
      <c r="L15" t="s">
        <v>425</v>
      </c>
      <c r="M15" t="s">
        <v>425</v>
      </c>
      <c r="N15" t="s">
        <v>425</v>
      </c>
    </row>
    <row r="16" spans="1:14" x14ac:dyDescent="0.25">
      <c r="A16" s="5" t="s">
        <v>398</v>
      </c>
      <c r="B16" t="s">
        <v>398</v>
      </c>
      <c r="C16" s="5" t="s">
        <v>399</v>
      </c>
      <c r="D16" t="s">
        <v>246</v>
      </c>
      <c r="E16" s="5" t="s">
        <v>11</v>
      </c>
      <c r="F16" s="5" t="s">
        <v>400</v>
      </c>
      <c r="G16" s="8" t="s">
        <v>401</v>
      </c>
      <c r="H16" s="1">
        <v>0.38100000000000001</v>
      </c>
      <c r="I16" s="5">
        <v>1</v>
      </c>
      <c r="J16" s="1">
        <f t="shared" si="0"/>
        <v>0.38100000000000001</v>
      </c>
      <c r="K16" t="s">
        <v>232</v>
      </c>
      <c r="L16" t="s">
        <v>425</v>
      </c>
      <c r="M16" t="s">
        <v>425</v>
      </c>
      <c r="N16" t="s">
        <v>425</v>
      </c>
    </row>
    <row r="17" spans="1:14" ht="15.75" thickBot="1" x14ac:dyDescent="0.3">
      <c r="A17" s="5" t="s">
        <v>242</v>
      </c>
      <c r="B17" t="s">
        <v>242</v>
      </c>
      <c r="C17" s="5" t="s">
        <v>243</v>
      </c>
      <c r="D17" t="s">
        <v>466</v>
      </c>
      <c r="E17" s="5" t="s">
        <v>11</v>
      </c>
      <c r="F17" s="5" t="s">
        <v>244</v>
      </c>
      <c r="G17" s="3" t="s">
        <v>241</v>
      </c>
      <c r="H17" s="1">
        <v>0.60099999999999998</v>
      </c>
      <c r="I17" s="5">
        <v>1</v>
      </c>
      <c r="J17" s="1">
        <f t="shared" si="0"/>
        <v>0.60099999999999998</v>
      </c>
      <c r="K17" s="22" t="s">
        <v>447</v>
      </c>
      <c r="L17" t="s">
        <v>426</v>
      </c>
      <c r="M17" t="s">
        <v>419</v>
      </c>
      <c r="N17" t="s">
        <v>425</v>
      </c>
    </row>
    <row r="18" spans="1:14" x14ac:dyDescent="0.25">
      <c r="A18" s="5" t="s">
        <v>457</v>
      </c>
      <c r="B18" t="s">
        <v>457</v>
      </c>
      <c r="C18" s="5" t="s">
        <v>458</v>
      </c>
      <c r="D18" t="s">
        <v>467</v>
      </c>
      <c r="E18" s="5" t="s">
        <v>11</v>
      </c>
      <c r="F18" s="27" t="s">
        <v>459</v>
      </c>
      <c r="G18" s="8" t="s">
        <v>460</v>
      </c>
      <c r="H18" s="1">
        <v>0.63</v>
      </c>
      <c r="I18" s="5">
        <v>1</v>
      </c>
      <c r="J18" s="1">
        <f t="shared" si="0"/>
        <v>0.63</v>
      </c>
      <c r="K18" t="s">
        <v>461</v>
      </c>
      <c r="L18" s="28" t="s">
        <v>425</v>
      </c>
      <c r="M18" s="29" t="s">
        <v>425</v>
      </c>
      <c r="N18" t="s">
        <v>425</v>
      </c>
    </row>
    <row r="19" spans="1:14" ht="15.75" thickBot="1" x14ac:dyDescent="0.3">
      <c r="A19" s="5" t="s">
        <v>272</v>
      </c>
      <c r="B19" t="s">
        <v>272</v>
      </c>
      <c r="C19" s="5" t="s">
        <v>273</v>
      </c>
      <c r="D19" t="s">
        <v>276</v>
      </c>
      <c r="E19" s="5" t="s">
        <v>11</v>
      </c>
      <c r="F19" s="5" t="s">
        <v>274</v>
      </c>
      <c r="G19" s="8" t="s">
        <v>275</v>
      </c>
      <c r="H19" s="1">
        <v>0.42499999999999999</v>
      </c>
      <c r="I19" s="5">
        <v>1</v>
      </c>
      <c r="J19" s="1">
        <f t="shared" si="0"/>
        <v>0.42499999999999999</v>
      </c>
      <c r="L19" s="30" t="s">
        <v>425</v>
      </c>
      <c r="M19" s="31" t="s">
        <v>425</v>
      </c>
      <c r="N19" s="33" t="s">
        <v>425</v>
      </c>
    </row>
    <row r="20" spans="1:14" x14ac:dyDescent="0.25">
      <c r="A20" s="5" t="s">
        <v>218</v>
      </c>
      <c r="B20" t="s">
        <v>218</v>
      </c>
      <c r="C20" s="5" t="s">
        <v>219</v>
      </c>
      <c r="D20" t="s">
        <v>227</v>
      </c>
      <c r="E20" s="5" t="s">
        <v>11</v>
      </c>
      <c r="F20" s="5" t="s">
        <v>220</v>
      </c>
      <c r="G20" s="8" t="s">
        <v>221</v>
      </c>
      <c r="H20" s="1">
        <v>0.45400000000000001</v>
      </c>
      <c r="I20" s="5">
        <v>1</v>
      </c>
      <c r="J20" s="1">
        <f t="shared" si="0"/>
        <v>0.45400000000000001</v>
      </c>
      <c r="K20" t="s">
        <v>251</v>
      </c>
      <c r="L20" t="s">
        <v>425</v>
      </c>
      <c r="M20" t="s">
        <v>425</v>
      </c>
      <c r="N20" t="s">
        <v>425</v>
      </c>
    </row>
    <row r="21" spans="1:14" x14ac:dyDescent="0.25">
      <c r="A21" s="5" t="s">
        <v>247</v>
      </c>
      <c r="B21" t="s">
        <v>247</v>
      </c>
      <c r="C21" s="5" t="s">
        <v>248</v>
      </c>
      <c r="D21" t="s">
        <v>253</v>
      </c>
      <c r="E21" s="5" t="s">
        <v>11</v>
      </c>
      <c r="F21" s="5" t="s">
        <v>249</v>
      </c>
      <c r="G21" s="8" t="s">
        <v>250</v>
      </c>
      <c r="H21" s="1">
        <v>0.20499999999999999</v>
      </c>
      <c r="I21" s="5">
        <v>1</v>
      </c>
      <c r="J21" s="1">
        <f t="shared" si="0"/>
        <v>0.20499999999999999</v>
      </c>
      <c r="K21" t="s">
        <v>252</v>
      </c>
      <c r="L21" t="s">
        <v>425</v>
      </c>
      <c r="M21" t="s">
        <v>425</v>
      </c>
      <c r="N21" t="s">
        <v>425</v>
      </c>
    </row>
    <row r="22" spans="1:14" x14ac:dyDescent="0.25">
      <c r="A22" s="5" t="s">
        <v>351</v>
      </c>
      <c r="B22" t="s">
        <v>351</v>
      </c>
      <c r="C22" s="5" t="s">
        <v>248</v>
      </c>
      <c r="D22" t="s">
        <v>259</v>
      </c>
      <c r="E22" s="5" t="s">
        <v>11</v>
      </c>
      <c r="F22" s="5" t="s">
        <v>352</v>
      </c>
      <c r="G22" s="8" t="s">
        <v>353</v>
      </c>
      <c r="H22" s="1">
        <v>0.29299999999999998</v>
      </c>
      <c r="I22" s="5">
        <v>1</v>
      </c>
      <c r="J22" s="1">
        <f t="shared" si="0"/>
        <v>0.29299999999999998</v>
      </c>
      <c r="K22" t="s">
        <v>354</v>
      </c>
      <c r="L22" t="s">
        <v>425</v>
      </c>
      <c r="M22" t="s">
        <v>425</v>
      </c>
      <c r="N22" t="s">
        <v>425</v>
      </c>
    </row>
    <row r="23" spans="1:14" x14ac:dyDescent="0.25">
      <c r="A23" s="22" t="s">
        <v>8</v>
      </c>
      <c r="B23" s="22" t="s">
        <v>8</v>
      </c>
      <c r="C23" s="22"/>
      <c r="D23" s="22" t="s">
        <v>38</v>
      </c>
      <c r="E23" s="22"/>
      <c r="F23" s="22"/>
      <c r="G23" s="22"/>
      <c r="H23" s="22"/>
      <c r="I23" s="22">
        <v>1</v>
      </c>
      <c r="J23" s="22">
        <f t="shared" si="0"/>
        <v>0</v>
      </c>
      <c r="K23" s="22" t="s">
        <v>439</v>
      </c>
      <c r="L23" t="s">
        <v>425</v>
      </c>
      <c r="M23" t="s">
        <v>425</v>
      </c>
      <c r="N23" s="22" t="s">
        <v>425</v>
      </c>
    </row>
    <row r="24" spans="1:14" x14ac:dyDescent="0.25">
      <c r="A24" s="5" t="s">
        <v>179</v>
      </c>
      <c r="B24" t="s">
        <v>179</v>
      </c>
      <c r="C24" s="5" t="s">
        <v>180</v>
      </c>
      <c r="D24" t="s">
        <v>183</v>
      </c>
      <c r="E24" s="5" t="s">
        <v>11</v>
      </c>
      <c r="F24" s="5" t="s">
        <v>181</v>
      </c>
      <c r="G24" s="8" t="s">
        <v>182</v>
      </c>
      <c r="H24" s="1">
        <v>1.01</v>
      </c>
      <c r="I24" s="5">
        <v>1</v>
      </c>
      <c r="J24" s="1">
        <f t="shared" si="0"/>
        <v>1.01</v>
      </c>
      <c r="L24" t="s">
        <v>425</v>
      </c>
      <c r="M24" t="s">
        <v>425</v>
      </c>
      <c r="N24" t="s">
        <v>425</v>
      </c>
    </row>
    <row r="25" spans="1:14" x14ac:dyDescent="0.25">
      <c r="A25" s="5" t="s">
        <v>289</v>
      </c>
      <c r="B25" t="s">
        <v>289</v>
      </c>
      <c r="C25" s="5" t="s">
        <v>434</v>
      </c>
      <c r="D25" t="s">
        <v>293</v>
      </c>
      <c r="E25" s="5" t="s">
        <v>118</v>
      </c>
      <c r="F25" s="7" t="s">
        <v>435</v>
      </c>
      <c r="G25" s="8" t="s">
        <v>436</v>
      </c>
      <c r="H25" s="1">
        <v>0.82099999999999995</v>
      </c>
      <c r="I25" s="5">
        <v>1</v>
      </c>
      <c r="J25" s="1">
        <f t="shared" si="0"/>
        <v>0.82099999999999995</v>
      </c>
      <c r="K25" s="25" t="s">
        <v>437</v>
      </c>
      <c r="L25" t="s">
        <v>425</v>
      </c>
      <c r="M25" t="s">
        <v>425</v>
      </c>
      <c r="N25" t="s">
        <v>425</v>
      </c>
    </row>
    <row r="26" spans="1:14" x14ac:dyDescent="0.25">
      <c r="A26" s="21" t="s">
        <v>15</v>
      </c>
      <c r="B26" t="s">
        <v>15</v>
      </c>
      <c r="C26" t="s">
        <v>18</v>
      </c>
      <c r="D26" t="s">
        <v>37</v>
      </c>
      <c r="E26" t="s">
        <v>11</v>
      </c>
      <c r="F26" t="s">
        <v>17</v>
      </c>
      <c r="G26" s="3" t="s">
        <v>16</v>
      </c>
      <c r="H26" s="1">
        <v>1.07</v>
      </c>
      <c r="I26">
        <v>1</v>
      </c>
      <c r="J26" s="1">
        <f t="shared" si="0"/>
        <v>1.07</v>
      </c>
      <c r="L26" t="s">
        <v>425</v>
      </c>
      <c r="M26" t="s">
        <v>425</v>
      </c>
      <c r="N26" t="s">
        <v>425</v>
      </c>
    </row>
    <row r="27" spans="1:14" x14ac:dyDescent="0.25">
      <c r="A27" t="s">
        <v>39</v>
      </c>
      <c r="B27" t="s">
        <v>39</v>
      </c>
      <c r="C27" t="s">
        <v>106</v>
      </c>
      <c r="D27" t="s">
        <v>40</v>
      </c>
      <c r="E27" t="s">
        <v>11</v>
      </c>
      <c r="F27" t="s">
        <v>107</v>
      </c>
      <c r="G27" s="3" t="s">
        <v>108</v>
      </c>
      <c r="H27" s="9">
        <v>9.66</v>
      </c>
      <c r="I27">
        <v>1</v>
      </c>
      <c r="J27" s="1">
        <f t="shared" si="0"/>
        <v>9.66</v>
      </c>
      <c r="L27" t="s">
        <v>425</v>
      </c>
      <c r="M27" t="s">
        <v>425</v>
      </c>
      <c r="N27" t="s">
        <v>425</v>
      </c>
    </row>
    <row r="28" spans="1:14" x14ac:dyDescent="0.25">
      <c r="A28" s="5" t="s">
        <v>69</v>
      </c>
      <c r="B28" t="s">
        <v>69</v>
      </c>
      <c r="C28" s="5" t="s">
        <v>422</v>
      </c>
      <c r="D28" t="s">
        <v>71</v>
      </c>
      <c r="E28" s="5" t="s">
        <v>421</v>
      </c>
      <c r="F28" s="5" t="s">
        <v>423</v>
      </c>
      <c r="G28" s="3" t="s">
        <v>420</v>
      </c>
      <c r="H28" s="1">
        <v>33.064999999999998</v>
      </c>
      <c r="I28" s="5">
        <v>1</v>
      </c>
      <c r="J28" s="1">
        <f t="shared" si="0"/>
        <v>33.064999999999998</v>
      </c>
      <c r="K28" s="25" t="s">
        <v>424</v>
      </c>
      <c r="L28" t="s">
        <v>425</v>
      </c>
      <c r="M28" t="s">
        <v>425</v>
      </c>
      <c r="N28" t="s">
        <v>425</v>
      </c>
    </row>
    <row r="29" spans="1:14" x14ac:dyDescent="0.25">
      <c r="A29" s="5" t="s">
        <v>334</v>
      </c>
      <c r="B29" t="s">
        <v>334</v>
      </c>
      <c r="C29" s="5" t="s">
        <v>335</v>
      </c>
      <c r="D29" t="s">
        <v>77</v>
      </c>
      <c r="E29" s="5" t="s">
        <v>11</v>
      </c>
      <c r="F29" s="5" t="s">
        <v>336</v>
      </c>
      <c r="G29" s="8" t="s">
        <v>337</v>
      </c>
      <c r="H29" s="1">
        <v>58.64</v>
      </c>
      <c r="I29" s="5">
        <v>1</v>
      </c>
      <c r="J29" s="1">
        <f t="shared" si="0"/>
        <v>58.64</v>
      </c>
      <c r="K29" s="25" t="s">
        <v>338</v>
      </c>
      <c r="L29" t="s">
        <v>425</v>
      </c>
      <c r="M29" t="s">
        <v>440</v>
      </c>
      <c r="N29" t="s">
        <v>425</v>
      </c>
    </row>
    <row r="30" spans="1:14" x14ac:dyDescent="0.25">
      <c r="A30" s="5" t="s">
        <v>72</v>
      </c>
      <c r="B30" t="s">
        <v>72</v>
      </c>
      <c r="C30" s="5" t="s">
        <v>441</v>
      </c>
      <c r="D30" t="s">
        <v>77</v>
      </c>
      <c r="E30" s="5" t="s">
        <v>175</v>
      </c>
      <c r="F30" s="5" t="s">
        <v>442</v>
      </c>
      <c r="G30" s="8" t="s">
        <v>443</v>
      </c>
      <c r="H30" s="1">
        <v>11.65</v>
      </c>
      <c r="I30" s="5">
        <v>1</v>
      </c>
      <c r="J30" s="1">
        <f t="shared" si="0"/>
        <v>11.65</v>
      </c>
      <c r="K30" s="25" t="s">
        <v>444</v>
      </c>
      <c r="L30" t="s">
        <v>425</v>
      </c>
      <c r="M30" t="s">
        <v>425</v>
      </c>
      <c r="N30" t="s">
        <v>425</v>
      </c>
    </row>
    <row r="31" spans="1:14" ht="15.75" thickBot="1" x14ac:dyDescent="0.3">
      <c r="A31" s="5" t="s">
        <v>83</v>
      </c>
      <c r="B31" t="s">
        <v>83</v>
      </c>
      <c r="C31" s="5" t="s">
        <v>84</v>
      </c>
      <c r="D31" t="s">
        <v>87</v>
      </c>
      <c r="E31" s="5" t="s">
        <v>11</v>
      </c>
      <c r="F31" s="5" t="s">
        <v>86</v>
      </c>
      <c r="G31" s="8" t="s">
        <v>85</v>
      </c>
      <c r="H31" s="1">
        <v>16.579999999999998</v>
      </c>
      <c r="I31" s="5">
        <v>1</v>
      </c>
      <c r="J31" s="1">
        <f t="shared" si="0"/>
        <v>16.579999999999998</v>
      </c>
      <c r="L31" t="s">
        <v>425</v>
      </c>
      <c r="M31" t="s">
        <v>425</v>
      </c>
      <c r="N31" t="s">
        <v>425</v>
      </c>
    </row>
    <row r="32" spans="1:14" x14ac:dyDescent="0.25">
      <c r="A32" s="5" t="s">
        <v>94</v>
      </c>
      <c r="B32" t="s">
        <v>94</v>
      </c>
      <c r="C32" s="5" t="s">
        <v>95</v>
      </c>
      <c r="D32" t="s">
        <v>98</v>
      </c>
      <c r="E32" s="5" t="s">
        <v>11</v>
      </c>
      <c r="F32" s="5" t="s">
        <v>97</v>
      </c>
      <c r="G32" s="3" t="s">
        <v>96</v>
      </c>
      <c r="H32" s="1">
        <v>0.76200000000000001</v>
      </c>
      <c r="I32" s="5">
        <v>1</v>
      </c>
      <c r="J32" s="1">
        <f t="shared" si="0"/>
        <v>0.76200000000000001</v>
      </c>
      <c r="L32" s="28" t="s">
        <v>425</v>
      </c>
      <c r="M32" s="29" t="s">
        <v>425</v>
      </c>
      <c r="N32" t="s">
        <v>425</v>
      </c>
    </row>
    <row r="33" spans="1:14" ht="15.75" thickBot="1" x14ac:dyDescent="0.3">
      <c r="A33" s="5" t="s">
        <v>149</v>
      </c>
      <c r="B33" t="s">
        <v>149</v>
      </c>
      <c r="C33" s="5" t="s">
        <v>150</v>
      </c>
      <c r="D33" t="s">
        <v>155</v>
      </c>
      <c r="E33" s="5" t="s">
        <v>11</v>
      </c>
      <c r="F33" s="5" t="s">
        <v>151</v>
      </c>
      <c r="G33" s="3" t="s">
        <v>152</v>
      </c>
      <c r="H33" s="1">
        <v>2.1</v>
      </c>
      <c r="I33" s="5">
        <v>1</v>
      </c>
      <c r="J33" s="1">
        <f t="shared" si="0"/>
        <v>2.1</v>
      </c>
      <c r="K33" s="25" t="s">
        <v>448</v>
      </c>
      <c r="L33" s="30" t="s">
        <v>426</v>
      </c>
      <c r="M33" s="31" t="s">
        <v>419</v>
      </c>
      <c r="N33" t="s">
        <v>425</v>
      </c>
    </row>
    <row r="34" spans="1:14" x14ac:dyDescent="0.25">
      <c r="A34" s="5" t="s">
        <v>149</v>
      </c>
      <c r="B34" s="5" t="s">
        <v>149</v>
      </c>
      <c r="D34" t="s">
        <v>155</v>
      </c>
      <c r="E34" s="5" t="s">
        <v>449</v>
      </c>
      <c r="F34" s="26">
        <v>2776121</v>
      </c>
      <c r="G34" s="8" t="s">
        <v>450</v>
      </c>
      <c r="H34" s="1">
        <v>3.23</v>
      </c>
      <c r="I34" s="5">
        <v>1</v>
      </c>
      <c r="J34" s="1">
        <f t="shared" ref="J34:J65" si="1">H34*I34</f>
        <v>3.23</v>
      </c>
      <c r="K34" t="s">
        <v>451</v>
      </c>
      <c r="L34" t="s">
        <v>425</v>
      </c>
      <c r="M34" t="s">
        <v>425</v>
      </c>
      <c r="N34" t="s">
        <v>425</v>
      </c>
    </row>
    <row r="35" spans="1:14" x14ac:dyDescent="0.25">
      <c r="A35" s="5" t="s">
        <v>173</v>
      </c>
      <c r="B35" t="s">
        <v>173</v>
      </c>
      <c r="C35" s="5" t="s">
        <v>432</v>
      </c>
      <c r="D35" t="s">
        <v>178</v>
      </c>
      <c r="E35" s="5" t="s">
        <v>11</v>
      </c>
      <c r="F35" s="5" t="s">
        <v>433</v>
      </c>
      <c r="G35" s="8" t="s">
        <v>431</v>
      </c>
      <c r="H35" s="1">
        <v>0.52800000000000002</v>
      </c>
      <c r="I35" s="5">
        <v>1</v>
      </c>
      <c r="J35" s="1">
        <f t="shared" si="1"/>
        <v>0.52800000000000002</v>
      </c>
      <c r="L35" t="s">
        <v>425</v>
      </c>
      <c r="M35" t="s">
        <v>425</v>
      </c>
      <c r="N35" t="s">
        <v>425</v>
      </c>
    </row>
    <row r="36" spans="1:14" x14ac:dyDescent="0.25">
      <c r="A36" t="s">
        <v>190</v>
      </c>
      <c r="B36" t="s">
        <v>191</v>
      </c>
      <c r="C36" t="s">
        <v>192</v>
      </c>
      <c r="D36" s="25" t="s">
        <v>196</v>
      </c>
      <c r="E36" t="s">
        <v>118</v>
      </c>
      <c r="F36" t="s">
        <v>193</v>
      </c>
      <c r="G36" s="3" t="s">
        <v>194</v>
      </c>
      <c r="H36" s="1">
        <v>1.121</v>
      </c>
      <c r="I36">
        <v>1</v>
      </c>
      <c r="J36" s="1">
        <f t="shared" si="1"/>
        <v>1.121</v>
      </c>
      <c r="K36" s="22" t="s">
        <v>403</v>
      </c>
      <c r="L36" t="s">
        <v>425</v>
      </c>
      <c r="M36" t="s">
        <v>425</v>
      </c>
      <c r="N36" t="s">
        <v>425</v>
      </c>
    </row>
    <row r="37" spans="1:14" x14ac:dyDescent="0.25">
      <c r="A37" s="5" t="s">
        <v>125</v>
      </c>
      <c r="B37" t="s">
        <v>125</v>
      </c>
      <c r="C37" s="5" t="s">
        <v>126</v>
      </c>
      <c r="D37" t="s">
        <v>129</v>
      </c>
      <c r="E37" s="5" t="s">
        <v>11</v>
      </c>
      <c r="F37" s="5" t="s">
        <v>127</v>
      </c>
      <c r="G37" s="8" t="s">
        <v>128</v>
      </c>
      <c r="H37" s="1">
        <v>1.61</v>
      </c>
      <c r="I37" s="5">
        <v>1</v>
      </c>
      <c r="J37" s="1">
        <f t="shared" si="1"/>
        <v>1.61</v>
      </c>
      <c r="L37" t="s">
        <v>425</v>
      </c>
      <c r="M37" t="s">
        <v>425</v>
      </c>
      <c r="N37" t="s">
        <v>425</v>
      </c>
    </row>
    <row r="38" spans="1:14" x14ac:dyDescent="0.25">
      <c r="A38" s="5" t="s">
        <v>114</v>
      </c>
      <c r="B38" t="s">
        <v>115</v>
      </c>
      <c r="C38" s="5" t="s">
        <v>116</v>
      </c>
      <c r="D38" s="25" t="s">
        <v>406</v>
      </c>
      <c r="E38" s="5" t="s">
        <v>118</v>
      </c>
      <c r="F38" s="5" t="s">
        <v>117</v>
      </c>
      <c r="G38" s="3" t="s">
        <v>113</v>
      </c>
      <c r="H38" s="1">
        <v>1.4279999999999999</v>
      </c>
      <c r="I38" s="5">
        <v>4</v>
      </c>
      <c r="J38" s="1">
        <f t="shared" si="1"/>
        <v>5.7119999999999997</v>
      </c>
      <c r="L38" t="s">
        <v>425</v>
      </c>
      <c r="M38" t="s">
        <v>425</v>
      </c>
      <c r="N38" t="s">
        <v>425</v>
      </c>
    </row>
    <row r="39" spans="1:14" x14ac:dyDescent="0.25">
      <c r="A39" s="5" t="s">
        <v>344</v>
      </c>
      <c r="B39" t="s">
        <v>344</v>
      </c>
      <c r="C39" s="5" t="s">
        <v>345</v>
      </c>
      <c r="D39" t="s">
        <v>347</v>
      </c>
      <c r="E39" s="5" t="s">
        <v>11</v>
      </c>
      <c r="F39" s="5" t="s">
        <v>346</v>
      </c>
      <c r="G39" s="8" t="s">
        <v>343</v>
      </c>
      <c r="H39" s="1">
        <v>3.9</v>
      </c>
      <c r="I39" s="5">
        <v>1</v>
      </c>
      <c r="J39" s="1">
        <f t="shared" si="1"/>
        <v>3.9</v>
      </c>
      <c r="L39" t="s">
        <v>425</v>
      </c>
      <c r="M39" t="s">
        <v>425</v>
      </c>
      <c r="N39" t="s">
        <v>425</v>
      </c>
    </row>
    <row r="40" spans="1:14" x14ac:dyDescent="0.25">
      <c r="A40" s="5" t="s">
        <v>156</v>
      </c>
      <c r="B40" t="s">
        <v>157</v>
      </c>
      <c r="C40" s="5" t="s">
        <v>116</v>
      </c>
      <c r="D40" s="25" t="s">
        <v>404</v>
      </c>
      <c r="E40" s="5" t="s">
        <v>118</v>
      </c>
      <c r="F40" s="5" t="s">
        <v>158</v>
      </c>
      <c r="G40" s="8" t="s">
        <v>159</v>
      </c>
      <c r="H40" s="1">
        <v>1.173</v>
      </c>
      <c r="I40" s="5">
        <v>2</v>
      </c>
      <c r="J40" s="1">
        <f t="shared" si="1"/>
        <v>2.3460000000000001</v>
      </c>
      <c r="L40" t="s">
        <v>425</v>
      </c>
      <c r="M40" t="s">
        <v>425</v>
      </c>
      <c r="N40" t="s">
        <v>425</v>
      </c>
    </row>
    <row r="41" spans="1:14" x14ac:dyDescent="0.25">
      <c r="A41" s="5" t="s">
        <v>167</v>
      </c>
      <c r="B41" t="s">
        <v>168</v>
      </c>
      <c r="C41" s="5" t="s">
        <v>116</v>
      </c>
      <c r="D41" s="25" t="s">
        <v>405</v>
      </c>
      <c r="E41" s="5" t="s">
        <v>118</v>
      </c>
      <c r="F41" s="5" t="s">
        <v>169</v>
      </c>
      <c r="G41" s="8" t="s">
        <v>170</v>
      </c>
      <c r="H41" s="1">
        <v>1.206</v>
      </c>
      <c r="I41" s="5">
        <v>2</v>
      </c>
      <c r="J41" s="1">
        <f t="shared" si="1"/>
        <v>2.4119999999999999</v>
      </c>
      <c r="K41" s="22" t="s">
        <v>171</v>
      </c>
      <c r="L41" t="s">
        <v>426</v>
      </c>
      <c r="M41" t="s">
        <v>419</v>
      </c>
      <c r="N41" t="s">
        <v>425</v>
      </c>
    </row>
    <row r="42" spans="1:14" x14ac:dyDescent="0.25">
      <c r="A42" s="5" t="s">
        <v>462</v>
      </c>
      <c r="B42" t="s">
        <v>462</v>
      </c>
      <c r="C42" s="5" t="s">
        <v>463</v>
      </c>
      <c r="D42" s="25" t="s">
        <v>411</v>
      </c>
      <c r="E42" s="5" t="s">
        <v>11</v>
      </c>
      <c r="F42" s="5" t="s">
        <v>464</v>
      </c>
      <c r="G42" s="8" t="s">
        <v>465</v>
      </c>
      <c r="H42" s="1">
        <v>5.13</v>
      </c>
      <c r="I42" s="5">
        <v>1</v>
      </c>
      <c r="J42" s="1">
        <f t="shared" si="1"/>
        <v>5.13</v>
      </c>
      <c r="L42" t="s">
        <v>425</v>
      </c>
      <c r="M42" t="s">
        <v>425</v>
      </c>
      <c r="N42" t="s">
        <v>425</v>
      </c>
    </row>
    <row r="43" spans="1:14" x14ac:dyDescent="0.25">
      <c r="A43" s="5" t="s">
        <v>233</v>
      </c>
      <c r="B43" t="s">
        <v>233</v>
      </c>
      <c r="C43" s="5" t="s">
        <v>234</v>
      </c>
      <c r="D43" t="s">
        <v>238</v>
      </c>
      <c r="E43" s="5" t="s">
        <v>11</v>
      </c>
      <c r="F43" s="5" t="s">
        <v>235</v>
      </c>
      <c r="G43" s="8" t="s">
        <v>236</v>
      </c>
      <c r="H43" s="1">
        <v>0.92400000000000004</v>
      </c>
      <c r="I43" s="5">
        <v>1</v>
      </c>
      <c r="J43" s="1">
        <f t="shared" si="1"/>
        <v>0.92400000000000004</v>
      </c>
      <c r="K43" t="s">
        <v>237</v>
      </c>
      <c r="L43" t="s">
        <v>425</v>
      </c>
      <c r="M43" t="s">
        <v>425</v>
      </c>
      <c r="N43" t="s">
        <v>425</v>
      </c>
    </row>
    <row r="44" spans="1:14" ht="15.75" thickBot="1" x14ac:dyDescent="0.3">
      <c r="A44" s="5" t="s">
        <v>277</v>
      </c>
      <c r="B44" t="s">
        <v>277</v>
      </c>
      <c r="C44" s="5" t="s">
        <v>278</v>
      </c>
      <c r="D44" t="s">
        <v>281</v>
      </c>
      <c r="E44" s="5" t="s">
        <v>11</v>
      </c>
      <c r="F44" s="5" t="s">
        <v>279</v>
      </c>
      <c r="G44" s="8" t="s">
        <v>280</v>
      </c>
      <c r="H44" s="1">
        <v>0.748</v>
      </c>
      <c r="I44" s="5">
        <v>1</v>
      </c>
      <c r="J44" s="1">
        <f t="shared" si="1"/>
        <v>0.748</v>
      </c>
      <c r="L44" t="s">
        <v>425</v>
      </c>
      <c r="M44" t="s">
        <v>425</v>
      </c>
      <c r="N44" t="s">
        <v>425</v>
      </c>
    </row>
    <row r="45" spans="1:14" x14ac:dyDescent="0.25">
      <c r="A45" s="5" t="s">
        <v>326</v>
      </c>
      <c r="B45" t="s">
        <v>326</v>
      </c>
      <c r="C45" s="5" t="s">
        <v>327</v>
      </c>
      <c r="D45" t="s">
        <v>264</v>
      </c>
      <c r="E45" s="5" t="s">
        <v>11</v>
      </c>
      <c r="F45" s="5" t="s">
        <v>328</v>
      </c>
      <c r="G45" s="8" t="s">
        <v>329</v>
      </c>
      <c r="H45" s="1">
        <v>1.03</v>
      </c>
      <c r="I45" s="5">
        <v>1</v>
      </c>
      <c r="J45" s="1">
        <f t="shared" si="1"/>
        <v>1.03</v>
      </c>
      <c r="L45" s="28" t="s">
        <v>425</v>
      </c>
      <c r="M45" s="29" t="s">
        <v>425</v>
      </c>
      <c r="N45" t="s">
        <v>425</v>
      </c>
    </row>
    <row r="46" spans="1:14" ht="15.75" thickBot="1" x14ac:dyDescent="0.3">
      <c r="A46" s="5" t="s">
        <v>330</v>
      </c>
      <c r="B46" t="s">
        <v>330</v>
      </c>
      <c r="C46" s="5" t="s">
        <v>331</v>
      </c>
      <c r="D46" t="s">
        <v>308</v>
      </c>
      <c r="E46" s="5" t="s">
        <v>11</v>
      </c>
      <c r="F46" s="5" t="s">
        <v>332</v>
      </c>
      <c r="G46" s="3" t="s">
        <v>333</v>
      </c>
      <c r="H46" s="1">
        <v>0.60099999999999998</v>
      </c>
      <c r="I46" s="5">
        <v>1</v>
      </c>
      <c r="J46" s="1">
        <f t="shared" si="1"/>
        <v>0.60099999999999998</v>
      </c>
      <c r="L46" s="30" t="s">
        <v>425</v>
      </c>
      <c r="M46" s="31" t="s">
        <v>425</v>
      </c>
      <c r="N46" t="s">
        <v>425</v>
      </c>
    </row>
    <row r="47" spans="1:14" x14ac:dyDescent="0.25">
      <c r="A47" s="5" t="s">
        <v>356</v>
      </c>
      <c r="B47" s="5" t="s">
        <v>356</v>
      </c>
      <c r="C47" s="5" t="s">
        <v>355</v>
      </c>
      <c r="D47" t="s">
        <v>294</v>
      </c>
      <c r="E47" s="5" t="s">
        <v>11</v>
      </c>
      <c r="F47" s="5" t="s">
        <v>357</v>
      </c>
      <c r="G47" s="8" t="s">
        <v>358</v>
      </c>
      <c r="H47" s="24">
        <v>0.26400000000000001</v>
      </c>
      <c r="I47" s="5">
        <v>9</v>
      </c>
      <c r="J47" s="1">
        <f t="shared" si="1"/>
        <v>2.3760000000000003</v>
      </c>
      <c r="K47" s="5" t="s">
        <v>359</v>
      </c>
      <c r="L47" t="s">
        <v>425</v>
      </c>
      <c r="M47" t="s">
        <v>425</v>
      </c>
      <c r="N47" t="s">
        <v>425</v>
      </c>
    </row>
    <row r="48" spans="1:14" ht="15.75" thickBot="1" x14ac:dyDescent="0.3">
      <c r="A48" s="5" t="s">
        <v>119</v>
      </c>
      <c r="B48" t="s">
        <v>119</v>
      </c>
      <c r="C48" s="5" t="s">
        <v>120</v>
      </c>
      <c r="D48" t="s">
        <v>123</v>
      </c>
      <c r="E48" s="5" t="s">
        <v>11</v>
      </c>
      <c r="F48" s="5" t="s">
        <v>121</v>
      </c>
      <c r="G48" s="8" t="s">
        <v>122</v>
      </c>
      <c r="H48" s="1">
        <v>0.41</v>
      </c>
      <c r="I48" s="5">
        <v>2</v>
      </c>
      <c r="J48" s="1">
        <f t="shared" si="1"/>
        <v>0.82</v>
      </c>
      <c r="K48" t="s">
        <v>141</v>
      </c>
      <c r="L48" t="s">
        <v>425</v>
      </c>
      <c r="M48" t="s">
        <v>425</v>
      </c>
      <c r="N48" t="s">
        <v>425</v>
      </c>
    </row>
    <row r="49" spans="1:14" x14ac:dyDescent="0.25">
      <c r="A49" s="5" t="s">
        <v>144</v>
      </c>
      <c r="B49" t="s">
        <v>144</v>
      </c>
      <c r="C49" s="5" t="s">
        <v>145</v>
      </c>
      <c r="D49" t="s">
        <v>148</v>
      </c>
      <c r="E49" s="5" t="s">
        <v>11</v>
      </c>
      <c r="F49" s="5" t="s">
        <v>146</v>
      </c>
      <c r="G49" s="3" t="s">
        <v>147</v>
      </c>
      <c r="H49" s="1">
        <v>0.48399999999999999</v>
      </c>
      <c r="I49" s="5">
        <v>5</v>
      </c>
      <c r="J49" s="1">
        <f t="shared" si="1"/>
        <v>2.42</v>
      </c>
      <c r="K49" t="s">
        <v>198</v>
      </c>
      <c r="L49" s="28" t="s">
        <v>425</v>
      </c>
      <c r="M49" s="29" t="s">
        <v>425</v>
      </c>
      <c r="N49" t="s">
        <v>425</v>
      </c>
    </row>
    <row r="50" spans="1:14" ht="15.75" thickBot="1" x14ac:dyDescent="0.3">
      <c r="A50" s="5" t="s">
        <v>162</v>
      </c>
      <c r="B50" t="s">
        <v>162</v>
      </c>
      <c r="C50" s="5" t="s">
        <v>110</v>
      </c>
      <c r="D50" t="s">
        <v>166</v>
      </c>
      <c r="E50" s="5" t="s">
        <v>11</v>
      </c>
      <c r="F50" s="5" t="s">
        <v>163</v>
      </c>
      <c r="G50" s="8" t="s">
        <v>164</v>
      </c>
      <c r="H50" s="1">
        <v>0.32300000000000001</v>
      </c>
      <c r="I50" s="5">
        <v>1</v>
      </c>
      <c r="J50" s="1">
        <f t="shared" si="1"/>
        <v>0.32300000000000001</v>
      </c>
      <c r="K50" t="s">
        <v>165</v>
      </c>
      <c r="L50" s="30" t="s">
        <v>425</v>
      </c>
      <c r="M50" s="31" t="s">
        <v>425</v>
      </c>
      <c r="N50" t="s">
        <v>425</v>
      </c>
    </row>
    <row r="51" spans="1:14" x14ac:dyDescent="0.25">
      <c r="A51" s="5" t="s">
        <v>42</v>
      </c>
      <c r="B51" t="s">
        <v>42</v>
      </c>
      <c r="C51" s="5" t="s">
        <v>44</v>
      </c>
      <c r="D51" t="s">
        <v>430</v>
      </c>
      <c r="E51" s="5" t="s">
        <v>11</v>
      </c>
      <c r="F51" s="5" t="s">
        <v>45</v>
      </c>
      <c r="G51" s="3" t="s">
        <v>43</v>
      </c>
      <c r="H51" s="1">
        <v>0.15</v>
      </c>
      <c r="I51" s="5">
        <v>19</v>
      </c>
      <c r="J51" s="1">
        <f t="shared" si="1"/>
        <v>2.85</v>
      </c>
      <c r="K51" s="5" t="s">
        <v>138</v>
      </c>
      <c r="L51" t="s">
        <v>425</v>
      </c>
      <c r="M51" t="s">
        <v>425</v>
      </c>
      <c r="N51" t="s">
        <v>425</v>
      </c>
    </row>
    <row r="52" spans="1:14" x14ac:dyDescent="0.25">
      <c r="A52" s="5" t="s">
        <v>186</v>
      </c>
      <c r="B52" t="s">
        <v>186</v>
      </c>
      <c r="C52" s="5" t="s">
        <v>187</v>
      </c>
      <c r="D52" t="s">
        <v>199</v>
      </c>
      <c r="E52" s="5" t="s">
        <v>11</v>
      </c>
      <c r="F52" s="5" t="s">
        <v>188</v>
      </c>
      <c r="G52" s="8" t="s">
        <v>189</v>
      </c>
      <c r="H52" s="1">
        <v>0.96799999999999997</v>
      </c>
      <c r="I52" s="5">
        <v>3</v>
      </c>
      <c r="J52" s="1">
        <f t="shared" si="1"/>
        <v>2.9039999999999999</v>
      </c>
      <c r="K52" t="s">
        <v>204</v>
      </c>
      <c r="L52" t="s">
        <v>425</v>
      </c>
      <c r="M52" t="s">
        <v>425</v>
      </c>
      <c r="N52" t="s">
        <v>425</v>
      </c>
    </row>
    <row r="53" spans="1:14" x14ac:dyDescent="0.25">
      <c r="A53" s="5" t="s">
        <v>367</v>
      </c>
      <c r="B53" t="s">
        <v>367</v>
      </c>
      <c r="C53" s="5" t="s">
        <v>368</v>
      </c>
      <c r="D53" t="s">
        <v>184</v>
      </c>
      <c r="E53" s="5" t="s">
        <v>11</v>
      </c>
      <c r="F53" s="5" t="s">
        <v>369</v>
      </c>
      <c r="G53" s="3" t="s">
        <v>370</v>
      </c>
      <c r="H53" s="1">
        <v>0.20499999999999999</v>
      </c>
      <c r="I53" s="5">
        <v>5</v>
      </c>
      <c r="J53" s="1">
        <f t="shared" si="1"/>
        <v>1.0249999999999999</v>
      </c>
      <c r="K53" s="5" t="s">
        <v>139</v>
      </c>
      <c r="L53" t="s">
        <v>425</v>
      </c>
      <c r="M53" t="s">
        <v>425</v>
      </c>
      <c r="N53" t="s">
        <v>425</v>
      </c>
    </row>
    <row r="54" spans="1:14" x14ac:dyDescent="0.25">
      <c r="A54" s="5" t="s">
        <v>200</v>
      </c>
      <c r="B54" t="s">
        <v>200</v>
      </c>
      <c r="C54" s="5" t="s">
        <v>110</v>
      </c>
      <c r="D54" t="s">
        <v>205</v>
      </c>
      <c r="E54" s="5" t="s">
        <v>11</v>
      </c>
      <c r="F54" s="5" t="s">
        <v>201</v>
      </c>
      <c r="G54" s="8" t="s">
        <v>202</v>
      </c>
      <c r="H54" s="1">
        <v>0.32300000000000001</v>
      </c>
      <c r="I54" s="5">
        <v>1</v>
      </c>
      <c r="J54" s="1">
        <f t="shared" si="1"/>
        <v>0.32300000000000001</v>
      </c>
      <c r="K54" t="s">
        <v>203</v>
      </c>
      <c r="L54" t="s">
        <v>425</v>
      </c>
      <c r="M54" t="s">
        <v>425</v>
      </c>
      <c r="N54" t="s">
        <v>425</v>
      </c>
    </row>
    <row r="55" spans="1:14" x14ac:dyDescent="0.25">
      <c r="A55" s="5" t="s">
        <v>209</v>
      </c>
      <c r="B55" t="s">
        <v>209</v>
      </c>
      <c r="C55" s="5" t="s">
        <v>210</v>
      </c>
      <c r="D55" t="s">
        <v>212</v>
      </c>
      <c r="E55" s="5" t="s">
        <v>11</v>
      </c>
      <c r="F55" s="5" t="s">
        <v>208</v>
      </c>
      <c r="G55" s="3" t="s">
        <v>207</v>
      </c>
      <c r="H55" s="1">
        <v>0.77700000000000002</v>
      </c>
      <c r="I55" s="5">
        <v>1</v>
      </c>
      <c r="J55" s="1">
        <f t="shared" si="1"/>
        <v>0.77700000000000002</v>
      </c>
      <c r="K55" t="s">
        <v>211</v>
      </c>
      <c r="L55" t="s">
        <v>425</v>
      </c>
      <c r="M55" t="s">
        <v>425</v>
      </c>
      <c r="N55" t="s">
        <v>425</v>
      </c>
    </row>
    <row r="56" spans="1:14" x14ac:dyDescent="0.25">
      <c r="A56" s="5" t="s">
        <v>266</v>
      </c>
      <c r="B56" t="s">
        <v>266</v>
      </c>
      <c r="C56" s="5" t="s">
        <v>267</v>
      </c>
      <c r="D56" t="s">
        <v>271</v>
      </c>
      <c r="E56" s="5" t="s">
        <v>11</v>
      </c>
      <c r="F56" s="5" t="s">
        <v>268</v>
      </c>
      <c r="G56" s="8" t="s">
        <v>269</v>
      </c>
      <c r="H56" s="1">
        <v>0.38100000000000001</v>
      </c>
      <c r="I56" s="5">
        <v>1</v>
      </c>
      <c r="J56" s="1">
        <f t="shared" si="1"/>
        <v>0.38100000000000001</v>
      </c>
      <c r="K56" t="s">
        <v>270</v>
      </c>
      <c r="L56" t="s">
        <v>425</v>
      </c>
      <c r="M56" t="s">
        <v>425</v>
      </c>
      <c r="N56" t="s">
        <v>425</v>
      </c>
    </row>
    <row r="57" spans="1:14" x14ac:dyDescent="0.25">
      <c r="A57" s="5" t="s">
        <v>282</v>
      </c>
      <c r="B57" t="s">
        <v>282</v>
      </c>
      <c r="C57" s="5" t="s">
        <v>284</v>
      </c>
      <c r="D57" t="s">
        <v>287</v>
      </c>
      <c r="E57" s="5" t="s">
        <v>11</v>
      </c>
      <c r="F57" s="5" t="s">
        <v>283</v>
      </c>
      <c r="G57" s="8" t="s">
        <v>285</v>
      </c>
      <c r="H57" s="1">
        <v>0.20499999999999999</v>
      </c>
      <c r="I57" s="5">
        <v>3</v>
      </c>
      <c r="J57" s="1">
        <f t="shared" si="1"/>
        <v>0.61499999999999999</v>
      </c>
      <c r="K57" t="s">
        <v>286</v>
      </c>
      <c r="L57" t="s">
        <v>425</v>
      </c>
      <c r="M57" t="s">
        <v>425</v>
      </c>
      <c r="N57" t="s">
        <v>425</v>
      </c>
    </row>
    <row r="58" spans="1:14" x14ac:dyDescent="0.25">
      <c r="A58" s="5" t="s">
        <v>109</v>
      </c>
      <c r="B58" t="s">
        <v>109</v>
      </c>
      <c r="C58" s="5" t="s">
        <v>110</v>
      </c>
      <c r="D58" t="s">
        <v>427</v>
      </c>
      <c r="E58" s="5" t="s">
        <v>11</v>
      </c>
      <c r="F58" s="5" t="s">
        <v>111</v>
      </c>
      <c r="G58" s="8" t="s">
        <v>112</v>
      </c>
      <c r="H58" s="1">
        <v>0.32300000000000001</v>
      </c>
      <c r="I58" s="5">
        <v>2</v>
      </c>
      <c r="J58" s="1">
        <f t="shared" si="1"/>
        <v>0.64600000000000002</v>
      </c>
      <c r="K58" t="s">
        <v>143</v>
      </c>
      <c r="L58" t="s">
        <v>425</v>
      </c>
      <c r="M58" t="s">
        <v>425</v>
      </c>
      <c r="N58" t="s">
        <v>425</v>
      </c>
    </row>
    <row r="59" spans="1:14" x14ac:dyDescent="0.25">
      <c r="A59" s="5" t="s">
        <v>51</v>
      </c>
      <c r="B59" t="s">
        <v>51</v>
      </c>
      <c r="C59" s="5" t="s">
        <v>52</v>
      </c>
      <c r="D59" t="s">
        <v>88</v>
      </c>
      <c r="E59" s="5" t="s">
        <v>11</v>
      </c>
      <c r="F59" s="5" t="s">
        <v>53</v>
      </c>
      <c r="G59" s="3" t="s">
        <v>50</v>
      </c>
      <c r="H59" s="1">
        <v>1.03</v>
      </c>
      <c r="I59" s="5">
        <v>2</v>
      </c>
      <c r="J59" s="1">
        <f t="shared" si="1"/>
        <v>2.06</v>
      </c>
      <c r="K59" s="5"/>
      <c r="L59" t="s">
        <v>425</v>
      </c>
      <c r="M59" t="s">
        <v>425</v>
      </c>
      <c r="N59" t="s">
        <v>425</v>
      </c>
    </row>
    <row r="60" spans="1:14" x14ac:dyDescent="0.25">
      <c r="A60" s="5" t="s">
        <v>385</v>
      </c>
      <c r="B60" t="s">
        <v>385</v>
      </c>
      <c r="C60" s="5" t="s">
        <v>386</v>
      </c>
      <c r="D60" t="s">
        <v>389</v>
      </c>
      <c r="E60" s="5" t="s">
        <v>11</v>
      </c>
      <c r="F60" s="5" t="s">
        <v>387</v>
      </c>
      <c r="G60" s="3" t="s">
        <v>388</v>
      </c>
      <c r="H60" s="1">
        <v>5.92</v>
      </c>
      <c r="I60" s="5">
        <v>1</v>
      </c>
      <c r="J60" s="1">
        <f t="shared" si="1"/>
        <v>5.92</v>
      </c>
      <c r="L60" t="s">
        <v>425</v>
      </c>
      <c r="M60" t="s">
        <v>425</v>
      </c>
      <c r="N60" t="s">
        <v>425</v>
      </c>
    </row>
    <row r="61" spans="1:14" x14ac:dyDescent="0.25">
      <c r="A61" t="s">
        <v>100</v>
      </c>
      <c r="B61" t="s">
        <v>100</v>
      </c>
      <c r="C61" s="21" t="s">
        <v>101</v>
      </c>
      <c r="D61" t="s">
        <v>102</v>
      </c>
      <c r="E61" t="s">
        <v>11</v>
      </c>
      <c r="F61" s="21" t="s">
        <v>103</v>
      </c>
      <c r="G61" s="3" t="s">
        <v>104</v>
      </c>
      <c r="H61" s="1">
        <v>1.77</v>
      </c>
      <c r="I61">
        <v>1</v>
      </c>
      <c r="J61" s="1">
        <f t="shared" si="1"/>
        <v>1.77</v>
      </c>
      <c r="L61" t="s">
        <v>425</v>
      </c>
      <c r="M61" t="s">
        <v>425</v>
      </c>
      <c r="N61" t="s">
        <v>425</v>
      </c>
    </row>
    <row r="63" spans="1:14" x14ac:dyDescent="0.25">
      <c r="I63" t="s">
        <v>99</v>
      </c>
      <c r="J63" s="1">
        <f>SUM(J2:J61)</f>
        <v>220.15499999999997</v>
      </c>
    </row>
  </sheetData>
  <conditionalFormatting sqref="L1:M61 L62:L1048576 N1:N2 N18:N19">
    <cfRule type="cellIs" dxfId="3" priority="2" operator="equal">
      <formula>"BACKORDER"</formula>
    </cfRule>
  </conditionalFormatting>
  <conditionalFormatting sqref="N2 L2:M61 N18:N19">
    <cfRule type="cellIs" dxfId="2" priority="3" operator="equal">
      <formula>"YES"</formula>
    </cfRule>
    <cfRule type="cellIs" dxfId="1" priority="4" operator="equal">
      <formula>"NO"</formula>
    </cfRule>
  </conditionalFormatting>
  <conditionalFormatting sqref="N2 M2:M61">
    <cfRule type="cellIs" dxfId="0" priority="1" operator="equal">
      <formula>"PARTIAL"</formula>
    </cfRule>
  </conditionalFormatting>
  <hyperlinks>
    <hyperlink ref="G61" r:id="rId1" xr:uid="{0EDBB972-C0B2-46B4-A1EC-9A38DE3FC2B4}"/>
    <hyperlink ref="G26" r:id="rId2" xr:uid="{3DD1BC3A-C0C5-414B-8553-5FEDCC3B47ED}"/>
    <hyperlink ref="G47" r:id="rId3" xr:uid="{E1533D1A-7BEB-47C5-BBCB-FD78A9E4D107}"/>
    <hyperlink ref="G10" r:id="rId4" xr:uid="{BD6D6C4B-0465-4586-9A28-31729791CF43}"/>
    <hyperlink ref="G4" r:id="rId5" xr:uid="{07870F4C-DE5F-4B3B-8A53-E0BCA6223AC9}"/>
    <hyperlink ref="G7" r:id="rId6" xr:uid="{34E56239-8A15-40AA-B303-77DC9C8D9917}"/>
    <hyperlink ref="G2" r:id="rId7" xr:uid="{9FF84516-2981-4EA3-B981-79642F51A9E7}"/>
    <hyperlink ref="G51" r:id="rId8" xr:uid="{653C2F46-D406-41F9-8B01-32DE11B8439A}"/>
    <hyperlink ref="G53" r:id="rId9" xr:uid="{30A9515B-9FFE-453E-AF43-7D5DDBE83C4D}"/>
    <hyperlink ref="G59" r:id="rId10" xr:uid="{8E787DFB-383C-487F-B4E9-EDF46674199B}"/>
    <hyperlink ref="G5" r:id="rId11" xr:uid="{A955306F-005E-4815-8E59-051B5A4AD4F3}"/>
    <hyperlink ref="G6" r:id="rId12" xr:uid="{F5D315A5-7244-4473-95C9-196BEB69AD84}"/>
    <hyperlink ref="G28" r:id="rId13" xr:uid="{E3099371-A845-4716-9D19-7B5CE36496AA}"/>
    <hyperlink ref="G29" r:id="rId14" xr:uid="{05F0FD69-282C-42D0-86F1-0B955C65764C}"/>
    <hyperlink ref="G8" r:id="rId15" xr:uid="{A25C3DD4-AAE7-431C-BF54-0E00EE0F98B3}"/>
    <hyperlink ref="G31" r:id="rId16" xr:uid="{710890F7-E309-4286-86DB-9E1BD946D4CB}"/>
    <hyperlink ref="G9" r:id="rId17" xr:uid="{3E249E46-B78B-467E-9314-99573F07A05F}"/>
    <hyperlink ref="G32" r:id="rId18" xr:uid="{ADED10BA-D77C-4DF1-85D4-3DCEED1E8D17}"/>
    <hyperlink ref="G58" r:id="rId19" xr:uid="{22A5FB74-2529-4E0F-90EF-D110DFB25F54}"/>
    <hyperlink ref="G38" r:id="rId20" xr:uid="{E8181292-A68F-4858-80A7-3878F5BDBC08}"/>
    <hyperlink ref="G48" r:id="rId21" xr:uid="{156D8AE3-FE17-44DA-9F39-15EA65957DD4}"/>
    <hyperlink ref="G37" r:id="rId22" xr:uid="{D8FB872C-51D6-49B8-BCE0-4F8DE471D2D9}"/>
    <hyperlink ref="G11" r:id="rId23" xr:uid="{2590E5F5-C153-4912-BEEB-AED351067A92}"/>
    <hyperlink ref="G49" r:id="rId24" xr:uid="{DD9A98BB-F073-4700-9D61-AF1194B49CDB}"/>
    <hyperlink ref="G33" r:id="rId25" xr:uid="{1BD0CE25-C045-4F10-B617-7F944FF65DE8}"/>
    <hyperlink ref="G40" r:id="rId26" display="https://au.rs-online.com/web/p/pcb-headers/7521797p?cm_mmc=AU-PPC-DS3A-_-google-_-3_AU_EN_Connectors_PCB+Headers_JST_Phrase-_-JST+-+7521797P+-+SM04B-GHS-TB(LF)(SN)-_-sm04b+ghs+tb+lf+sn&amp;matchtype=p&amp;aud-828197004210:kwd-349737151659&amp;gclid=EAIaIQobChMI1ITwjq7-9wIVFBwrCh09SQ1AEAAYAiAAEgIOBfD_BwE&amp;gclsrc=aw.ds" xr:uid="{A671ED7C-6FAC-46A9-99B0-4E88B189C983}"/>
    <hyperlink ref="G50" r:id="rId27" xr:uid="{33FC75EF-59CC-4019-9AA1-CEF9F0FCA8B1}"/>
    <hyperlink ref="G41" r:id="rId28" display="https://au.rs-online.com/web/p/pcb-headers/7521807p?cm_mmc=AU-PPC-DS3A-_-google-_-3_AU_EN_Connectors_PCB+Headers_JST_Phrase-_-JST+-+7521807P+-+SM05B-GHS-TB(LF)(SN)-_-sm05b+ghs+tb+lf+sn&amp;matchtype=p&amp;aud-821594433763:kwd-383463479017&amp;gclid=EAIaIQobChMI7JqB-rP-9wIVtZNmAh2j4w0kEAAYAyAAEgJjvvD_BwE&amp;gclsrc=aw.ds" xr:uid="{530CCDE8-7290-46DF-AFAE-F11C744AF674}"/>
    <hyperlink ref="G35" r:id="rId29" xr:uid="{7FC55D44-0CA4-42A1-A25C-3D082C49A5FB}"/>
    <hyperlink ref="G24" r:id="rId30" xr:uid="{0E944932-1BDD-43D2-BF9E-8B56A1B7C6B5}"/>
    <hyperlink ref="G52" r:id="rId31" xr:uid="{E84ABC6D-7D9D-4451-98F0-2741C0BA390B}"/>
    <hyperlink ref="G54" r:id="rId32" xr:uid="{FC624585-11CA-45C0-9BCE-71C6E73D86CE}"/>
    <hyperlink ref="G55" r:id="rId33" xr:uid="{D07C9BF0-4689-4CC5-9F6F-CD9882EF7EAE}"/>
    <hyperlink ref="G15" r:id="rId34" xr:uid="{0C148064-BD03-4B60-A873-78464C11F594}"/>
    <hyperlink ref="G20" r:id="rId35" xr:uid="{62CA4196-74F4-4F0F-93AF-08FE86ABB6B8}"/>
    <hyperlink ref="G12" r:id="rId36" xr:uid="{425E2EDC-80AC-4BE9-8313-0C4658EA8978}"/>
    <hyperlink ref="G16" r:id="rId37" xr:uid="{933CD64E-849C-49B3-B161-9625066DCAAB}"/>
    <hyperlink ref="G43" r:id="rId38" xr:uid="{196D7C42-046D-456E-AE71-18BA3E8BB2CD}"/>
    <hyperlink ref="G17" r:id="rId39" xr:uid="{2B3CB2D5-7C2E-4982-9F85-FF18C447D072}"/>
    <hyperlink ref="G21" r:id="rId40" xr:uid="{7519343A-6988-48C7-BA27-3CF7DC631C5A}"/>
    <hyperlink ref="G22" r:id="rId41" xr:uid="{A0D94DFC-878A-408A-9794-C5BC8175DCF7}"/>
    <hyperlink ref="G45" r:id="rId42" xr:uid="{9468D135-E206-4D21-9293-7DEB89CCA990}"/>
    <hyperlink ref="G56" r:id="rId43" xr:uid="{B229A0AA-0A57-43BD-AA24-63C39CA89166}"/>
    <hyperlink ref="G19" r:id="rId44" xr:uid="{F35247DC-F524-443F-9392-6FF1FA773708}"/>
    <hyperlink ref="G44" r:id="rId45" xr:uid="{8C394A0B-0F8F-4E83-811F-FC6DBBB5D86E}"/>
    <hyperlink ref="G57" r:id="rId46" xr:uid="{27816C40-91DD-4380-8787-2278C4275F4C}"/>
    <hyperlink ref="G25" r:id="rId47" xr:uid="{A9DE41E4-2A62-45B6-87AB-D8499272CD04}"/>
    <hyperlink ref="G14" r:id="rId48" xr:uid="{7CE4750B-3D89-49A3-AD3F-8727D768F6A6}"/>
    <hyperlink ref="G46" r:id="rId49" xr:uid="{F6408B11-C6B5-4A62-99F4-E1097F6BC4D3}"/>
    <hyperlink ref="G60" r:id="rId50" xr:uid="{9F9828BD-159E-4687-9C45-C49545692E8F}"/>
    <hyperlink ref="G39" r:id="rId51" xr:uid="{8AD6D82E-CD4A-465B-A25A-E9F49386B968}"/>
    <hyperlink ref="G42" r:id="rId52" xr:uid="{A768B906-62DD-4B6E-AB2A-43C1CBA0704D}"/>
    <hyperlink ref="G3" r:id="rId53" xr:uid="{F2D4C095-B4F5-45FC-8F45-270693D05FC8}"/>
    <hyperlink ref="G27" r:id="rId54" xr:uid="{7D132815-B5CF-45F7-8456-3E87A6BCEF1A}"/>
    <hyperlink ref="G30" r:id="rId55" display="https://www.digikey.com.au/en/products/detail/tdk-invensense/ICM-20608-G/5177387?utm_adgroup=General&amp;utm_source=google&amp;utm_medium=cpc&amp;utm_campaign=PMax%20Shopping_Product_Zombie%20SKUS&amp;utm_term=&amp;productid=5177387&amp;utm_id=go_cmp-17853854068_adg-_ad-__dev-c_ext-_prd-5177387_sig-EAIaIQobChMInuXgnPCr-QIV0oJLBR2cawKjEAQYAiABEgIJfPD_BwE&amp;gclid=EAIaIQobChMInuXgnPCr-QIV0oJLBR2cawKjEAQYAiABEgIJfPD_BwE" xr:uid="{55406AD1-7499-41D4-A7C0-B9A76BA2FDD5}"/>
    <hyperlink ref="G36" r:id="rId56" xr:uid="{CCB9CA8A-B5DC-4167-A0EE-BFF64F3C8EA0}"/>
    <hyperlink ref="G34" r:id="rId57" xr:uid="{08403C2B-6969-4608-9FF8-4705E56F5AFB}"/>
    <hyperlink ref="G13" r:id="rId58" xr:uid="{29C0ED2D-4673-4CCE-8BF4-10F525EFD895}"/>
    <hyperlink ref="G18" r:id="rId59" xr:uid="{46BF1B86-8189-434D-B1F8-A5C3F5650504}"/>
  </hyperlinks>
  <pageMargins left="0.7" right="0.7" top="0.75" bottom="0.75" header="0.3" footer="0.3"/>
  <pageSetup paperSize="9" orientation="portrait" r:id="rId6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EF5CF-FD27-40DB-8971-3999DCDCF2C5}">
  <dimension ref="A1:C61"/>
  <sheetViews>
    <sheetView topLeftCell="A4" workbookViewId="0">
      <selection activeCell="B23" sqref="A23:B27"/>
    </sheetView>
  </sheetViews>
  <sheetFormatPr defaultRowHeight="15" x14ac:dyDescent="0.25"/>
  <cols>
    <col min="1" max="1" width="42.5703125" bestFit="1" customWidth="1"/>
    <col min="2" max="2" width="66.5703125" bestFit="1" customWidth="1"/>
    <col min="3" max="3" width="80.28515625" bestFit="1" customWidth="1"/>
  </cols>
  <sheetData>
    <row r="1" spans="1:3" x14ac:dyDescent="0.25">
      <c r="A1" t="s">
        <v>0</v>
      </c>
      <c r="B1" t="s">
        <v>14</v>
      </c>
      <c r="C1" t="s">
        <v>36</v>
      </c>
    </row>
    <row r="2" spans="1:3" x14ac:dyDescent="0.25">
      <c r="A2" s="22" t="s">
        <v>8</v>
      </c>
      <c r="B2" s="22" t="s">
        <v>439</v>
      </c>
      <c r="C2" s="22" t="s">
        <v>38</v>
      </c>
    </row>
    <row r="3" spans="1:3" x14ac:dyDescent="0.25">
      <c r="A3" t="s">
        <v>100</v>
      </c>
      <c r="C3" t="s">
        <v>102</v>
      </c>
    </row>
    <row r="4" spans="1:3" x14ac:dyDescent="0.25">
      <c r="A4" t="s">
        <v>39</v>
      </c>
      <c r="C4" t="s">
        <v>40</v>
      </c>
    </row>
    <row r="5" spans="1:3" x14ac:dyDescent="0.25">
      <c r="A5" t="s">
        <v>190</v>
      </c>
      <c r="B5" s="22" t="s">
        <v>403</v>
      </c>
      <c r="C5" s="25" t="s">
        <v>196</v>
      </c>
    </row>
    <row r="6" spans="1:3" x14ac:dyDescent="0.25">
      <c r="A6" s="21" t="s">
        <v>15</v>
      </c>
      <c r="C6" t="s">
        <v>37</v>
      </c>
    </row>
    <row r="7" spans="1:3" x14ac:dyDescent="0.25">
      <c r="A7" s="5" t="s">
        <v>356</v>
      </c>
      <c r="B7" s="5" t="s">
        <v>359</v>
      </c>
      <c r="C7" t="s">
        <v>294</v>
      </c>
    </row>
    <row r="8" spans="1:3" x14ac:dyDescent="0.25">
      <c r="A8" s="5" t="s">
        <v>23</v>
      </c>
      <c r="B8" s="5" t="s">
        <v>136</v>
      </c>
      <c r="C8" t="s">
        <v>348</v>
      </c>
    </row>
    <row r="9" spans="1:3" x14ac:dyDescent="0.25">
      <c r="A9" s="5" t="s">
        <v>360</v>
      </c>
      <c r="B9" s="5" t="s">
        <v>364</v>
      </c>
      <c r="C9" t="s">
        <v>428</v>
      </c>
    </row>
    <row r="10" spans="1:3" x14ac:dyDescent="0.25">
      <c r="A10" s="5" t="s">
        <v>31</v>
      </c>
      <c r="B10" s="5" t="s">
        <v>288</v>
      </c>
      <c r="C10" t="s">
        <v>429</v>
      </c>
    </row>
    <row r="11" spans="1:3" x14ac:dyDescent="0.25">
      <c r="A11" s="5" t="s">
        <v>51</v>
      </c>
      <c r="B11" s="5"/>
      <c r="C11" t="s">
        <v>88</v>
      </c>
    </row>
    <row r="12" spans="1:3" x14ac:dyDescent="0.25">
      <c r="A12" t="s">
        <v>313</v>
      </c>
      <c r="B12" s="25" t="s">
        <v>366</v>
      </c>
      <c r="C12" t="s">
        <v>365</v>
      </c>
    </row>
    <row r="13" spans="1:3" x14ac:dyDescent="0.25">
      <c r="A13" s="5" t="s">
        <v>42</v>
      </c>
      <c r="B13" s="5" t="s">
        <v>138</v>
      </c>
      <c r="C13" t="s">
        <v>430</v>
      </c>
    </row>
    <row r="14" spans="1:3" x14ac:dyDescent="0.25">
      <c r="A14" s="5" t="s">
        <v>367</v>
      </c>
      <c r="B14" s="5" t="s">
        <v>139</v>
      </c>
      <c r="C14" t="s">
        <v>184</v>
      </c>
    </row>
    <row r="15" spans="1:3" x14ac:dyDescent="0.25">
      <c r="A15" s="5" t="s">
        <v>371</v>
      </c>
      <c r="B15" s="5" t="s">
        <v>375</v>
      </c>
      <c r="C15" t="s">
        <v>295</v>
      </c>
    </row>
    <row r="16" spans="1:3" x14ac:dyDescent="0.25">
      <c r="A16" s="5" t="s">
        <v>377</v>
      </c>
      <c r="B16" s="5" t="s">
        <v>376</v>
      </c>
      <c r="C16" t="s">
        <v>61</v>
      </c>
    </row>
    <row r="17" spans="1:3" x14ac:dyDescent="0.25">
      <c r="A17" s="5" t="s">
        <v>69</v>
      </c>
      <c r="B17" s="25" t="s">
        <v>424</v>
      </c>
      <c r="C17" t="s">
        <v>71</v>
      </c>
    </row>
    <row r="18" spans="1:3" x14ac:dyDescent="0.25">
      <c r="A18" s="5" t="s">
        <v>334</v>
      </c>
      <c r="B18" s="25" t="s">
        <v>338</v>
      </c>
      <c r="C18" t="s">
        <v>77</v>
      </c>
    </row>
    <row r="19" spans="1:3" x14ac:dyDescent="0.25">
      <c r="A19" s="5" t="s">
        <v>72</v>
      </c>
      <c r="B19" s="25" t="s">
        <v>444</v>
      </c>
      <c r="C19" t="s">
        <v>77</v>
      </c>
    </row>
    <row r="20" spans="1:3" x14ac:dyDescent="0.25">
      <c r="A20" s="5" t="s">
        <v>385</v>
      </c>
      <c r="C20" t="s">
        <v>389</v>
      </c>
    </row>
    <row r="21" spans="1:3" x14ac:dyDescent="0.25">
      <c r="A21" s="5" t="s">
        <v>79</v>
      </c>
      <c r="B21" t="s">
        <v>381</v>
      </c>
      <c r="C21" t="s">
        <v>82</v>
      </c>
    </row>
    <row r="22" spans="1:3" x14ac:dyDescent="0.25">
      <c r="A22" s="5" t="s">
        <v>83</v>
      </c>
      <c r="C22" t="s">
        <v>87</v>
      </c>
    </row>
    <row r="23" spans="1:3" x14ac:dyDescent="0.25">
      <c r="A23" s="5" t="s">
        <v>322</v>
      </c>
      <c r="B23" t="s">
        <v>382</v>
      </c>
      <c r="C23" t="s">
        <v>185</v>
      </c>
    </row>
    <row r="24" spans="1:3" x14ac:dyDescent="0.25">
      <c r="A24" s="5" t="s">
        <v>94</v>
      </c>
      <c r="C24" t="s">
        <v>98</v>
      </c>
    </row>
    <row r="25" spans="1:3" x14ac:dyDescent="0.25">
      <c r="A25" s="5" t="s">
        <v>109</v>
      </c>
      <c r="B25" t="s">
        <v>143</v>
      </c>
      <c r="C25" t="s">
        <v>427</v>
      </c>
    </row>
    <row r="26" spans="1:3" x14ac:dyDescent="0.25">
      <c r="A26" s="5" t="s">
        <v>125</v>
      </c>
      <c r="C26" t="s">
        <v>129</v>
      </c>
    </row>
    <row r="27" spans="1:3" x14ac:dyDescent="0.25">
      <c r="A27" s="5" t="s">
        <v>114</v>
      </c>
      <c r="C27" s="25" t="s">
        <v>406</v>
      </c>
    </row>
    <row r="28" spans="1:3" x14ac:dyDescent="0.25">
      <c r="A28" s="5" t="s">
        <v>344</v>
      </c>
      <c r="C28" t="s">
        <v>347</v>
      </c>
    </row>
    <row r="29" spans="1:3" x14ac:dyDescent="0.25">
      <c r="A29" s="5" t="s">
        <v>119</v>
      </c>
      <c r="B29" t="s">
        <v>141</v>
      </c>
      <c r="C29" t="s">
        <v>123</v>
      </c>
    </row>
    <row r="30" spans="1:3" x14ac:dyDescent="0.25">
      <c r="A30" s="5" t="s">
        <v>390</v>
      </c>
      <c r="B30" t="s">
        <v>142</v>
      </c>
      <c r="C30" t="s">
        <v>134</v>
      </c>
    </row>
    <row r="31" spans="1:3" x14ac:dyDescent="0.25">
      <c r="A31" s="5" t="s">
        <v>144</v>
      </c>
      <c r="B31" t="s">
        <v>198</v>
      </c>
      <c r="C31" t="s">
        <v>148</v>
      </c>
    </row>
    <row r="32" spans="1:3" x14ac:dyDescent="0.25">
      <c r="A32" s="5" t="s">
        <v>149</v>
      </c>
      <c r="B32" s="25" t="s">
        <v>448</v>
      </c>
      <c r="C32" t="s">
        <v>155</v>
      </c>
    </row>
    <row r="33" spans="1:3" x14ac:dyDescent="0.25">
      <c r="A33" s="5" t="s">
        <v>149</v>
      </c>
      <c r="B33" t="s">
        <v>451</v>
      </c>
      <c r="C33" t="s">
        <v>155</v>
      </c>
    </row>
    <row r="34" spans="1:3" x14ac:dyDescent="0.25">
      <c r="A34" s="5" t="s">
        <v>156</v>
      </c>
      <c r="C34" s="25" t="s">
        <v>404</v>
      </c>
    </row>
    <row r="35" spans="1:3" x14ac:dyDescent="0.25">
      <c r="A35" s="5" t="s">
        <v>162</v>
      </c>
      <c r="B35" t="s">
        <v>165</v>
      </c>
      <c r="C35" t="s">
        <v>166</v>
      </c>
    </row>
    <row r="36" spans="1:3" x14ac:dyDescent="0.25">
      <c r="A36" s="5" t="s">
        <v>167</v>
      </c>
      <c r="B36" s="22" t="s">
        <v>171</v>
      </c>
      <c r="C36" s="25" t="s">
        <v>405</v>
      </c>
    </row>
    <row r="37" spans="1:3" x14ac:dyDescent="0.25">
      <c r="A37" s="5" t="s">
        <v>173</v>
      </c>
      <c r="C37" t="s">
        <v>178</v>
      </c>
    </row>
    <row r="38" spans="1:3" x14ac:dyDescent="0.25">
      <c r="A38" s="5" t="s">
        <v>179</v>
      </c>
      <c r="C38" t="s">
        <v>183</v>
      </c>
    </row>
    <row r="39" spans="1:3" x14ac:dyDescent="0.25">
      <c r="A39" s="5" t="s">
        <v>462</v>
      </c>
      <c r="C39" s="25" t="s">
        <v>411</v>
      </c>
    </row>
    <row r="40" spans="1:3" x14ac:dyDescent="0.25">
      <c r="A40" s="5" t="s">
        <v>186</v>
      </c>
      <c r="B40" t="s">
        <v>204</v>
      </c>
      <c r="C40" t="s">
        <v>199</v>
      </c>
    </row>
    <row r="41" spans="1:3" x14ac:dyDescent="0.25">
      <c r="A41" s="5" t="s">
        <v>200</v>
      </c>
      <c r="B41" t="s">
        <v>203</v>
      </c>
      <c r="C41" t="s">
        <v>205</v>
      </c>
    </row>
    <row r="42" spans="1:3" x14ac:dyDescent="0.25">
      <c r="A42" s="5" t="s">
        <v>209</v>
      </c>
      <c r="B42" t="s">
        <v>211</v>
      </c>
      <c r="C42" t="s">
        <v>212</v>
      </c>
    </row>
    <row r="43" spans="1:3" x14ac:dyDescent="0.25">
      <c r="A43" s="5" t="s">
        <v>213</v>
      </c>
      <c r="C43" t="s">
        <v>217</v>
      </c>
    </row>
    <row r="44" spans="1:3" x14ac:dyDescent="0.25">
      <c r="A44" s="5" t="s">
        <v>218</v>
      </c>
      <c r="B44" t="s">
        <v>251</v>
      </c>
      <c r="C44" t="s">
        <v>227</v>
      </c>
    </row>
    <row r="45" spans="1:3" x14ac:dyDescent="0.25">
      <c r="A45" s="5" t="s">
        <v>394</v>
      </c>
      <c r="B45" s="22" t="s">
        <v>446</v>
      </c>
      <c r="C45" t="s">
        <v>445</v>
      </c>
    </row>
    <row r="46" spans="1:3" x14ac:dyDescent="0.25">
      <c r="A46" s="5" t="s">
        <v>452</v>
      </c>
      <c r="B46" t="s">
        <v>456</v>
      </c>
      <c r="C46" t="s">
        <v>445</v>
      </c>
    </row>
    <row r="47" spans="1:3" x14ac:dyDescent="0.25">
      <c r="A47" s="5" t="s">
        <v>398</v>
      </c>
      <c r="B47" t="s">
        <v>232</v>
      </c>
      <c r="C47" t="s">
        <v>246</v>
      </c>
    </row>
    <row r="48" spans="1:3" x14ac:dyDescent="0.25">
      <c r="A48" s="5" t="s">
        <v>233</v>
      </c>
      <c r="B48" t="s">
        <v>237</v>
      </c>
      <c r="C48" t="s">
        <v>238</v>
      </c>
    </row>
    <row r="49" spans="1:3" x14ac:dyDescent="0.25">
      <c r="A49" s="5" t="s">
        <v>242</v>
      </c>
      <c r="B49" s="22" t="s">
        <v>447</v>
      </c>
      <c r="C49" t="s">
        <v>245</v>
      </c>
    </row>
    <row r="50" spans="1:3" x14ac:dyDescent="0.25">
      <c r="A50" s="5" t="s">
        <v>457</v>
      </c>
      <c r="B50" t="s">
        <v>461</v>
      </c>
      <c r="C50" t="s">
        <v>245</v>
      </c>
    </row>
    <row r="51" spans="1:3" x14ac:dyDescent="0.25">
      <c r="A51" s="5" t="s">
        <v>247</v>
      </c>
      <c r="B51" t="s">
        <v>252</v>
      </c>
      <c r="C51" t="s">
        <v>253</v>
      </c>
    </row>
    <row r="52" spans="1:3" x14ac:dyDescent="0.25">
      <c r="A52" s="5" t="s">
        <v>351</v>
      </c>
      <c r="B52" t="s">
        <v>354</v>
      </c>
      <c r="C52" t="s">
        <v>259</v>
      </c>
    </row>
    <row r="53" spans="1:3" x14ac:dyDescent="0.25">
      <c r="A53" s="5" t="s">
        <v>326</v>
      </c>
      <c r="C53" t="s">
        <v>264</v>
      </c>
    </row>
    <row r="54" spans="1:3" x14ac:dyDescent="0.25">
      <c r="A54" s="5" t="s">
        <v>266</v>
      </c>
      <c r="B54" t="s">
        <v>270</v>
      </c>
      <c r="C54" t="s">
        <v>271</v>
      </c>
    </row>
    <row r="55" spans="1:3" x14ac:dyDescent="0.25">
      <c r="A55" s="5" t="s">
        <v>272</v>
      </c>
      <c r="C55" t="s">
        <v>276</v>
      </c>
    </row>
    <row r="56" spans="1:3" x14ac:dyDescent="0.25">
      <c r="A56" s="5" t="s">
        <v>277</v>
      </c>
      <c r="C56" t="s">
        <v>281</v>
      </c>
    </row>
    <row r="57" spans="1:3" x14ac:dyDescent="0.25">
      <c r="A57" s="5" t="s">
        <v>282</v>
      </c>
      <c r="B57" t="s">
        <v>286</v>
      </c>
      <c r="C57" t="s">
        <v>287</v>
      </c>
    </row>
    <row r="58" spans="1:3" x14ac:dyDescent="0.25">
      <c r="A58" s="5" t="s">
        <v>289</v>
      </c>
      <c r="B58" s="25" t="s">
        <v>437</v>
      </c>
      <c r="C58" t="s">
        <v>293</v>
      </c>
    </row>
    <row r="59" spans="1:3" x14ac:dyDescent="0.25">
      <c r="A59" s="5" t="s">
        <v>296</v>
      </c>
      <c r="B59" t="s">
        <v>300</v>
      </c>
      <c r="C59" t="s">
        <v>301</v>
      </c>
    </row>
    <row r="60" spans="1:3" x14ac:dyDescent="0.25">
      <c r="A60" s="5" t="s">
        <v>330</v>
      </c>
      <c r="C60" t="s">
        <v>308</v>
      </c>
    </row>
    <row r="61" spans="1:3" x14ac:dyDescent="0.25">
      <c r="A61" s="5" t="s">
        <v>412</v>
      </c>
      <c r="B61" t="s">
        <v>417</v>
      </c>
      <c r="C61" s="25" t="s">
        <v>416</v>
      </c>
    </row>
  </sheetData>
  <pageMargins left="0.7" right="0.7" top="0.75" bottom="0.75" header="0.3" footer="0.3"/>
  <pageSetup paperSize="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57CABE2FB605428CBE637B0033237F" ma:contentTypeVersion="6" ma:contentTypeDescription="Create a new document." ma:contentTypeScope="" ma:versionID="8e01ae5e3a854c428ecb51b04a5eb137">
  <xsd:schema xmlns:xsd="http://www.w3.org/2001/XMLSchema" xmlns:xs="http://www.w3.org/2001/XMLSchema" xmlns:p="http://schemas.microsoft.com/office/2006/metadata/properties" xmlns:ns3="29b0d09e-6f39-46b5-b82f-b1383123c844" targetNamespace="http://schemas.microsoft.com/office/2006/metadata/properties" ma:root="true" ma:fieldsID="3c2deed83547585403535db24828d0c3" ns3:_="">
    <xsd:import namespace="29b0d09e-6f39-46b5-b82f-b1383123c84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b0d09e-6f39-46b5-b82f-b1383123c8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5F63DA-D34D-4B3A-BE11-8D626484CD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D127284-E5B0-4248-9128-7672704FF7C3}">
  <ds:schemaRefs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29b0d09e-6f39-46b5-b82f-b1383123c844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F36A61CE-3F49-449B-A08F-0EFD5090F7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b0d09e-6f39-46b5-b82f-b1383123c8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Charts</vt:lpstr>
      </vt:variant>
      <vt:variant>
        <vt:i4>2</vt:i4>
      </vt:variant>
    </vt:vector>
  </HeadingPairs>
  <TitlesOfParts>
    <vt:vector size="7" baseType="lpstr">
      <vt:lpstr>Original Schematic BOM</vt:lpstr>
      <vt:lpstr>Alternative Schematic BOM</vt:lpstr>
      <vt:lpstr>Current (V1) Schematic BOM</vt:lpstr>
      <vt:lpstr>Current (V1) Schematic BOM Alt.</vt:lpstr>
      <vt:lpstr>Sheet1</vt:lpstr>
      <vt:lpstr>Chart2</vt:lpstr>
      <vt:lpstr>Chart1</vt:lpstr>
    </vt:vector>
  </TitlesOfParts>
  <Company>Queensland University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Kai-Cherng Lee</dc:creator>
  <cp:lastModifiedBy>Josh Hecke</cp:lastModifiedBy>
  <cp:lastPrinted>2022-09-14T22:57:29Z</cp:lastPrinted>
  <dcterms:created xsi:type="dcterms:W3CDTF">2022-05-11T01:20:11Z</dcterms:created>
  <dcterms:modified xsi:type="dcterms:W3CDTF">2025-12-02T05:36:09Z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0x0101001757CABE2FB605428CBE637B0033237F</vt:lpwstr>
  </property>
</Properties>
</file>